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13_ncr:1_{D012D8C8-F916-42AC-AE91-E460AAD39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Especificaciones" sheetId="1" r:id="rId1"/>
    <sheet name="2. Req. Funcionales" sheetId="2" r:id="rId2"/>
    <sheet name="3. Req. No Funcionales" sheetId="3" r:id="rId3"/>
    <sheet name="4. Restricciones" sheetId="4" r:id="rId4"/>
    <sheet name="5. Lista de Componen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5" l="1"/>
  <c r="F9" i="1"/>
  <c r="E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<sst xmlns="http://schemas.openxmlformats.org/spreadsheetml/2006/main" count="364" uniqueCount="319">
  <si>
    <t>1. Especificaciones Eléctricas de la Fuente de Alimentación Multi-Salida</t>
  </si>
  <si>
    <t>ID Salida</t>
  </si>
  <si>
    <t>Salida</t>
  </si>
  <si>
    <t>Tensión Nominal (V)</t>
  </si>
  <si>
    <t>Tensión Máx. (V)</t>
  </si>
  <si>
    <t>Corriente Máxima (A)</t>
  </si>
  <si>
    <t>Potencia Máx. (W)</t>
  </si>
  <si>
    <t>Tipo de Salida</t>
  </si>
  <si>
    <t>Topología / Convertidor (IC Real)</t>
  </si>
  <si>
    <t>Frecuencia Conmutación</t>
  </si>
  <si>
    <t>OUT_01</t>
  </si>
  <si>
    <t>+12V0</t>
  </si>
  <si>
    <t>12.0 V</t>
  </si>
  <si>
    <t>Salida Fija Alta Corriente</t>
  </si>
  <si>
    <t>Convertidor Buck Síncrono DC/DC (SY8205FCC - U1)</t>
  </si>
  <si>
    <t>500 kHz</t>
  </si>
  <si>
    <t>OUT_02</t>
  </si>
  <si>
    <t>+5V0</t>
  </si>
  <si>
    <t>5.0 V</t>
  </si>
  <si>
    <t>Salida Fija Lógica / Potencia</t>
  </si>
  <si>
    <t>Convertidor Buck Síncrono DC/DC (SY8205FCC - U2)</t>
  </si>
  <si>
    <t>OUT_03</t>
  </si>
  <si>
    <t>+3V3</t>
  </si>
  <si>
    <t>3.3 V</t>
  </si>
  <si>
    <t>Salida Fija Lógica Digital</t>
  </si>
  <si>
    <t>Convertidor Buck Síncrono DC/DC (SY8205FCC - U3)</t>
  </si>
  <si>
    <t>OUT_04</t>
  </si>
  <si>
    <t>-12V0</t>
  </si>
  <si>
    <t>-12.0 V</t>
  </si>
  <si>
    <t>Salida Negativa Fija (OpAmps)</t>
  </si>
  <si>
    <t>Inversor Buck-Boost Negativo (TPS54360DDAR - U5)</t>
  </si>
  <si>
    <t>OUT_05</t>
  </si>
  <si>
    <t>Variable (1.25V - 15V)</t>
  </si>
  <si>
    <t>1.25 V - 15.0 V</t>
  </si>
  <si>
    <t>Salida Variable Regulable</t>
  </si>
  <si>
    <t>Convertidor Buck Ajustable (LM2596SX-ADJ/NOPB - U4)</t>
  </si>
  <si>
    <t>150 kHz</t>
  </si>
  <si>
    <t>Totales Máximos:</t>
  </si>
  <si>
    <t>ID Req.</t>
  </si>
  <si>
    <t>Módulo / Función</t>
  </si>
  <si>
    <t>Descripción Detallada / Justificación en Esquemático</t>
  </si>
  <si>
    <t>RF-01</t>
  </si>
  <si>
    <t>Transformador y Protección AC</t>
  </si>
  <si>
    <t>Entrada 18 VAC rms (desde 110 VAC), Fusible 16A/500V (F1) y Varistor MOV 29V/500A (V1)</t>
  </si>
  <si>
    <t>Reducir la tensión de red a 18 VAC rms (Vp = 25.46 V) y proteger la etapa primaria contra sobretensiones transitorias y cortocircuitos.</t>
  </si>
  <si>
    <t>RF-02</t>
  </si>
  <si>
    <t>Rectificación y Filtrado EMI</t>
  </si>
  <si>
    <t>Puente BR1 (25A/50V), Banco 3x6800 µF (20,400 µF) y Filtro Pi EMI (L6=10 µH, C31=100nF, C32/C33=10µF)</t>
  </si>
  <si>
    <t>Convertir 18 VAC a un bus de ~24 VDC con rizado Vr ≤ 2.5 V @ Icarga=6.381 A y atenuar ruido de alta frecuencia (Fc = 11.25 kHz).</t>
  </si>
  <si>
    <t>RF-03</t>
  </si>
  <si>
    <t>Regulación DC/DC (+12V0)</t>
  </si>
  <si>
    <t>Suministrar +12.0 VDC @ 5 A continuos (IC SY8205FCC - U1, L1=6 µH, R2=10kΩ, R3=523Ω)</t>
  </si>
  <si>
    <t>Convertir la tensión del bus de 24 VDC a +12 VDC de alta corriente con arranque suave (Tss = 6 ms, C2 = 0.1 µF).</t>
  </si>
  <si>
    <t>RF-04</t>
  </si>
  <si>
    <t>Regulación DC/DC (+5V0)</t>
  </si>
  <si>
    <t>Suministrar +5.0 VDC @ 5 A continuos (IC SY8205FCC - U2, L2=4.8 µH, R5=10kΩ, R6=1.37kΩ)</t>
  </si>
  <si>
    <t>Regular eficientemente la línea de +5 VDC para sensores y módulos de potencia con red de compensación y filtro de salida C12=47 µF.</t>
  </si>
  <si>
    <t>RF-05</t>
  </si>
  <si>
    <t>Regulación DC/DC (+3V3)</t>
  </si>
  <si>
    <t>Suministrar +3.3 VDC @ 3 A continuos (IC SY8205FCC - U3, L3=4.8 µH, R8=10kΩ, R9=2.2kΩ)</t>
  </si>
  <si>
    <t>Proveer +3.3 VDC estables y limpios para microcontroladores y lógica digital con arranque suave de 6 ms (C14 = 0.1 µF).</t>
  </si>
  <si>
    <t>RF-06</t>
  </si>
  <si>
    <t>Regulación DC/DC (-12V0)</t>
  </si>
  <si>
    <t>Suministrar -12.0 VDC @ 1 A continuos (IC TPS54360DDAR - U5, L5=47 µH, D2=60V/3A, R14=14kΩ, R13=1kΩ)</t>
  </si>
  <si>
    <t>Generar el riel negativo de -12 VDC mediante topología inversora Buck-Boost configurada a 500 kHz (R11 = 200 kΩ) y compensación externa.</t>
  </si>
  <si>
    <t>RF-07</t>
  </si>
  <si>
    <t>Regulación Variable (1.25V-15V)</t>
  </si>
  <si>
    <t>Ajustar salida entre +1.25 V y +15.0 VDC @ 3 A (IC LM2596SX-ADJ - U4, L4=47 µH, D1=40V/5A, R10=175Ω, VR1=2kΩ)</t>
  </si>
  <si>
    <t>Permitir el ajuste continuo en panel frontal mediante potenciómetro VR1 de 2 kΩ (con capacitor feed-forward C20=680 pF) y lectura en conector J2.</t>
  </si>
  <si>
    <t>RF-08</t>
  </si>
  <si>
    <t>Bus DC Principal Jerárquico</t>
  </si>
  <si>
    <t>Distribución mediante puerto jerárquico 24VDC e indicador LED verde (D3 con R15=1.1 kΩ @ ~20 mA)</t>
  </si>
  <si>
    <t>Distribuir el bus principal de 24 VDC desde la hoja AC/DC hacia las 3 sub-hojas de convertidores DC/DC con indicación luminosa de encendido.</t>
  </si>
  <si>
    <t>3. Requisitos No Funcionales y de Interfaz de Usuario</t>
  </si>
  <si>
    <t>Categoría</t>
  </si>
  <si>
    <t>Elemento / Requerimiento</t>
  </si>
  <si>
    <t>Impacto en Usabilidad / Estética</t>
  </si>
  <si>
    <t>RNF-01</t>
  </si>
  <si>
    <t>Medición Visual</t>
  </si>
  <si>
    <t>Voltímetro Digital de 3 Cables (Conector J2)</t>
  </si>
  <si>
    <t>Módulo LED de 3 hilos conectado a J2: Pin 3 (Vin = Bus 24VDC), Pin 2 (Vout = 1.25V-15V), Pin 1 (GND).</t>
  </si>
  <si>
    <t>Lectura en tiempo real desde 0V hasta 15V sin apagarse a bajas tensiones.</t>
  </si>
  <si>
    <t>RNF-02</t>
  </si>
  <si>
    <t>Indicación de Estado</t>
  </si>
  <si>
    <t>LED Indicador de Presencia Bus 24VDC (D3)</t>
  </si>
  <si>
    <t>LED Verde (D3, Vrf=2.1V) con resistencia limitadora R15 de 1.1 kΩ (ID3 ≈ 20 mA, PR15 = 0.438 W, usar ≥ 1/2 W).</t>
  </si>
  <si>
    <t>Diagnóstico visual inmediato de energía activa en la etapa rectificadora AC/DC.</t>
  </si>
  <si>
    <t>RNF-03</t>
  </si>
  <si>
    <t>Interfaz de Conexión</t>
  </si>
  <si>
    <t>Conector de Entrada AC (J1) y Salidas DC</t>
  </si>
  <si>
    <t>Bornera de potencia J1 (2 pines) para entrada 18 VAC rms y borneras de salida para +12V, +5V, +3.3V, -12V, Variable y GND.</t>
  </si>
  <si>
    <t>Conexión segura, ordenada y aislada para el transformador y las cargas de laboratorio.</t>
  </si>
  <si>
    <t>RNF-04</t>
  </si>
  <si>
    <t>Control Ergonómico</t>
  </si>
  <si>
    <t>Potenciómetro de Ajuste Variable (VR1)</t>
  </si>
  <si>
    <t>Potenciómetro de 2 kΩ (VR1) en serie con resistencia fija R10 de 175 Ω para fijar el rango exacto de 1.25 V a 15.0 V.</t>
  </si>
  <si>
    <t>Ajuste suave, lineal y preciso de la tensión en la rama ajustable del LM2596SX-ADJ.</t>
  </si>
  <si>
    <t>RNF-05</t>
  </si>
  <si>
    <t>Arquitectura de Diseño</t>
  </si>
  <si>
    <t>Diseño Esquemático Jerárquico en Altium</t>
  </si>
  <si>
    <t>Estructura modular con hoja raíz (000_Hierarchical) y sub-hojas (100_AC-DC, 200_DC-DC, 201_Part2, 202_Part3).</t>
  </si>
  <si>
    <t>Documentación técnica estandarizada, fácil depuración de ERC y trazabilidad limpia hacia el PCB.</t>
  </si>
  <si>
    <t>4. Restricciones de Diseño Eléctrico y Trazado de PCB</t>
  </si>
  <si>
    <t>ID Rest.</t>
  </si>
  <si>
    <t>Ubicación / Etapa</t>
  </si>
  <si>
    <t>Bloque / Riel</t>
  </si>
  <si>
    <t>Corriente / Parámetro Nominal</t>
  </si>
  <si>
    <t>RD-01</t>
  </si>
  <si>
    <t>En PCB (Entrada AC)</t>
  </si>
  <si>
    <t>Bornera J1 y Fusible F1</t>
  </si>
  <si>
    <t>18 VAC rms / Fusible 16 A (500 V)</t>
  </si>
  <si>
    <t>Acople mecánico para secundaria del transformador con protección por fusible F1 y varistor V1 (29V, 500A).</t>
  </si>
  <si>
    <t>RD-02</t>
  </si>
  <si>
    <t>En PCB (Rectificación)</t>
  </si>
  <si>
    <t>Puente Rectificador BR1</t>
  </si>
  <si>
    <t>25 A / 50 V (Vp = 25.46 V)</t>
  </si>
  <si>
    <t>Soportar los picos de corriente de carga del banco capacitivo de 20,400 µF (3 x 6800 µF) sin sobrecalentamiento.</t>
  </si>
  <si>
    <t>RD-03</t>
  </si>
  <si>
    <t>En PCB (Bus DC Principal)</t>
  </si>
  <si>
    <t>Filtro EMI (L6) y Riel 24VDC</t>
  </si>
  <si>
    <t>6.381 A dc (Icarga calculada)</t>
  </si>
  <si>
    <t>Dimensionado en esquemático para Icarga = 6.381 A con inductor L6 de 10 µH y rizado máximo Vr = 2.5 V.</t>
  </si>
  <si>
    <t>RD-04</t>
  </si>
  <si>
    <t>En PCB (Salida DC +12V)</t>
  </si>
  <si>
    <t>Riel +12V0 (U1 - SY8205FCC)</t>
  </si>
  <si>
    <t>5.0 A dc (60 W)</t>
  </si>
  <si>
    <t>Pistas cortas y anchas en nodo de conmutación LX y bobina L1 (6 µH) con rizado de corriente del 40%.</t>
  </si>
  <si>
    <t>RD-05</t>
  </si>
  <si>
    <t>En PCB (Salida DC +5V)</t>
  </si>
  <si>
    <t>Riel +5V0 (U2 - SY8205FCC)</t>
  </si>
  <si>
    <t>5.0 A dc (25 W)</t>
  </si>
  <si>
    <t>Suministro continuo para lógica y sensores mediante inductor L2 (4.8 µH) a 500 kHz.</t>
  </si>
  <si>
    <t>RD-06</t>
  </si>
  <si>
    <t>En PCB (Salida DC +3.3V)</t>
  </si>
  <si>
    <t>Riel +3V3 (U3 - SY8205FCC)</t>
  </si>
  <si>
    <t>3.0 A dc (9.9 W)</t>
  </si>
  <si>
    <t>Regulación síncrona eficiente con inductor L3 (4.8 µH) y protección térmica para sistemas embebidos.</t>
  </si>
  <si>
    <t>RD-07</t>
  </si>
  <si>
    <t>En PCB (Salida DC -12V)</t>
  </si>
  <si>
    <t>Riel -12V0 (U5 - TPS54360DDAR)</t>
  </si>
  <si>
    <t>1.0 A dc (12 W)</t>
  </si>
  <si>
    <t>Topología inversora; el pin EP (Pin 9) y GND van a referencia y el diodo Schottky D2 (60V/3A) soporta V_in + |V_out| = 36 V.</t>
  </si>
  <si>
    <t>RD-08</t>
  </si>
  <si>
    <t>En PCB (Salida Variable)</t>
  </si>
  <si>
    <t>Riel 1V25-15V0 (U4 - LM2596SX-ADJ)</t>
  </si>
  <si>
    <t>3.0 A dc (Máx. 45 W)</t>
  </si>
  <si>
    <t>Requiere disipación de cobre en tab GND del encapsulado SMD, diodo D1 (40V/5A) e inductor L4 (47 µH).</t>
  </si>
  <si>
    <t>RD-09</t>
  </si>
  <si>
    <t>En PCB (Masa / Retorno)</t>
  </si>
  <si>
    <t>Plano General GND</t>
  </si>
  <si>
    <t>17.0 A dc (Suma máx. salidas)</t>
  </si>
  <si>
    <t>Plano de tierra sólido para minimizar caídas óhmicas, acoplamiento de ruido EMI y disipar calor de los pads térmicos (EP).</t>
  </si>
  <si>
    <t>5. Lista de Materiales (BOM) Consolidada según Esquemáticos en Altium Designer</t>
  </si>
  <si>
    <t>Item</t>
  </si>
  <si>
    <t>Designadores (Altium)</t>
  </si>
  <si>
    <t>Descripción Técnica y Valor Exacto</t>
  </si>
  <si>
    <t>Cantidad</t>
  </si>
  <si>
    <t>Etapa / Hoja Esquemático</t>
  </si>
  <si>
    <t>Design Item ID (Sugerido Norma IPC)</t>
  </si>
  <si>
    <t>J1</t>
  </si>
  <si>
    <t>Conectores</t>
  </si>
  <si>
    <t>Bornera de entrada AC de 2 pines (18 VAC rms)</t>
  </si>
  <si>
    <t>100_AC-DC</t>
  </si>
  <si>
    <t>J2</t>
  </si>
  <si>
    <t>Header / Conector de 3 pines para Voltímetro Digital (1:GND, 2:Vout, 3:Vin 24V)</t>
  </si>
  <si>
    <t>202_DC-DC_Part3 (Adj)</t>
  </si>
  <si>
    <t>M1 (Externo)</t>
  </si>
  <si>
    <t>Instrumentación</t>
  </si>
  <si>
    <t>Módulo Voltímetro Digital LED de 3 cables (0-100V DC, alimentado a 24V)</t>
  </si>
  <si>
    <t>Panel Frontal (Conectado a J2)</t>
  </si>
  <si>
    <t>MOD_VOLT_LED_3W</t>
  </si>
  <si>
    <t>F1</t>
  </si>
  <si>
    <t>Protección</t>
  </si>
  <si>
    <t>Fusible de entrada AC 16 A / 500 V con portafusible en PCB</t>
  </si>
  <si>
    <t>V1</t>
  </si>
  <si>
    <t>Varistor de Óxido Metálico (MOV) 29 V / 500 A</t>
  </si>
  <si>
    <t>BR1</t>
  </si>
  <si>
    <t>Semiconductores</t>
  </si>
  <si>
    <t>Puente Rectificador Monofásico 25 A / 50 V</t>
  </si>
  <si>
    <t>U1, U2, U3</t>
  </si>
  <si>
    <t>Circuitos Integrados</t>
  </si>
  <si>
    <t>IC Convertidor Buck Síncrono SY8205FCC (5A, 500kHz, SO8E)</t>
  </si>
  <si>
    <t>200_DC-DC (+12V, +5V) y 201 (+3.3V)</t>
  </si>
  <si>
    <t>U4</t>
  </si>
  <si>
    <t>IC Regulador Buck Ajustable LM2596SX-ADJ/NOPB (3A, 150kHz, DDPAK/TO-263-5)</t>
  </si>
  <si>
    <t>202_DC-DC_Part3 (1.25V-15V)</t>
  </si>
  <si>
    <t>U5</t>
  </si>
  <si>
    <t>IC Convertidor DC/DC TPS54360DDAR (60V, 3.5A, HSOIC-8, configurado como Inversor -12V)</t>
  </si>
  <si>
    <t>201_DC-DC_Part2 (-12V)</t>
  </si>
  <si>
    <t>D1</t>
  </si>
  <si>
    <t>Diodo Schottky de Potencia 40 V / 5 A</t>
  </si>
  <si>
    <t>202_DC-DC_Part3 (LM2596)</t>
  </si>
  <si>
    <t>D2</t>
  </si>
  <si>
    <t>Diodo Schottky de Potencia 60 V / 3 A</t>
  </si>
  <si>
    <t>201_DC-DC_Part2 (TPS54360)</t>
  </si>
  <si>
    <t>D3</t>
  </si>
  <si>
    <t>Optoelectrónica</t>
  </si>
  <si>
    <t>LED Indicador Verde (Vf = 2.1 V, If = 20 mA)</t>
  </si>
  <si>
    <t>L1</t>
  </si>
  <si>
    <t>Inductores</t>
  </si>
  <si>
    <t>Inductor de Potencia Blindado 6 µH (I_sat ≥ 6 A)</t>
  </si>
  <si>
    <t>200_DC-DC (+12V0)</t>
  </si>
  <si>
    <t>L2, L3</t>
  </si>
  <si>
    <t>Inductor de Potencia Blindado 4.8 µH (I_sat ≥ 6 A)</t>
  </si>
  <si>
    <t>200_DC-DC (+5V0) y 201 (+3V3)</t>
  </si>
  <si>
    <t>L4, L5</t>
  </si>
  <si>
    <t>Inductor de Potencia Blindado 47 µH (I_sat ≥ 4 A)</t>
  </si>
  <si>
    <t>201 (-12V0) y 202 (Ajustable)</t>
  </si>
  <si>
    <t>L6</t>
  </si>
  <si>
    <t>Inductor de Filtro EMI 10 µH (Corriente continua ≥ 7 A)</t>
  </si>
  <si>
    <t>100_AC-DC (Filtro EMI)</t>
  </si>
  <si>
    <t>C28, C29, C30</t>
  </si>
  <si>
    <t>Capacitores</t>
  </si>
  <si>
    <t>Capacitor Electrolítico 6800 µF / ≥ 35 V (Banco principal = 20,400 µF)</t>
  </si>
  <si>
    <t>C19</t>
  </si>
  <si>
    <t>Capacitor Electrolítico 470 µF / ≥ 35 V</t>
  </si>
  <si>
    <t>202_DC-DC_Part3 (Entrada U4)</t>
  </si>
  <si>
    <t>C21</t>
  </si>
  <si>
    <t>Capacitor Electrolítico 220 µF / ≥ 25 V</t>
  </si>
  <si>
    <t>202_DC-DC_Part3 (Salida U4)</t>
  </si>
  <si>
    <t>C6, C12, C18</t>
  </si>
  <si>
    <t>Capacitor Electrolítico / Polímero 47 µF / ≥ 25 V</t>
  </si>
  <si>
    <t>Salidas +12V, +5V y +3.3V</t>
  </si>
  <si>
    <t>C27</t>
  </si>
  <si>
    <t>Capacitor Cerámico / Polímero 15 µF / ≥ 25 V</t>
  </si>
  <si>
    <t>201_DC-DC_Part2 (Salida -12V)</t>
  </si>
  <si>
    <t>C1, C7, C13, C23, C32, C33</t>
  </si>
  <si>
    <t>Capacitor Cerámico Multicapa (MLCC) 10 µF / 50 V</t>
  </si>
  <si>
    <t>Entradas DC/DC y Filtro EMI</t>
  </si>
  <si>
    <t>C4, C10, C16, C22</t>
  </si>
  <si>
    <t>Capacitor Cerámico MLCC 1 µF / 50 V</t>
  </si>
  <si>
    <t>Pines VCC SY8205 y VIN TPS54360</t>
  </si>
  <si>
    <t>CAP_CER_1uF_50V</t>
  </si>
  <si>
    <t>C2, C3, C8, C9, C14, C15, C24, C31</t>
  </si>
  <si>
    <t>Capacitor Cerámico MLCC 0.1 µF (100 nF) / 50 V</t>
  </si>
  <si>
    <t>Bootstrap (BS/BOOT), Soft-Start (SS) y EMI</t>
  </si>
  <si>
    <t>C25</t>
  </si>
  <si>
    <t>Capacitor Cerámico MLCC 68 nF / 50 V</t>
  </si>
  <si>
    <t>201_DC-DC_Part2 (Compensación U5)</t>
  </si>
  <si>
    <t>C20, C26</t>
  </si>
  <si>
    <t>Capacitor Cerámico MLCC 680 pF / 50 V</t>
  </si>
  <si>
    <t>Compensación U5 y Feed-forward U4</t>
  </si>
  <si>
    <t>C5, C11, C17</t>
  </si>
  <si>
    <t>Capacitor Cerámico MLCC 100 pF / 50 V</t>
  </si>
  <si>
    <t>Red de realimentación SY8205</t>
  </si>
  <si>
    <t>VR1</t>
  </si>
  <si>
    <t>Potenciómetros</t>
  </si>
  <si>
    <t>Potenciómetro de Ajuste 2 kΩ (Multigiro / Panel para salida 1.25V-15V)</t>
  </si>
  <si>
    <t>202_DC-DC_Part3 (Ajustable)</t>
  </si>
  <si>
    <t>R11</t>
  </si>
  <si>
    <t>Resistencias</t>
  </si>
  <si>
    <t>Resistencia SMD 200 kΩ 1% (Configuración de frecuencia RT/CLK U5)</t>
  </si>
  <si>
    <t>R1, R4, R7</t>
  </si>
  <si>
    <t>Resistencia SMD 100 kΩ 1% (Pull-up pin EN en SY8205)</t>
  </si>
  <si>
    <t>200_DC-DC y 201_DC-DC_Part2</t>
  </si>
  <si>
    <t>R14</t>
  </si>
  <si>
    <t>Resistencia SMD 14 kΩ 1% (Feedback superior -12V)</t>
  </si>
  <si>
    <t>R2, R5, R8</t>
  </si>
  <si>
    <t>Resistencia SMD 10 kΩ 1% (Feedback superior SY8205)</t>
  </si>
  <si>
    <t>R12</t>
  </si>
  <si>
    <t>Resistencia SMD 4.7 kΩ (4k7) 1% (Compensación COMP U5)</t>
  </si>
  <si>
    <t>R9</t>
  </si>
  <si>
    <t>Resistencia SMD 2.2 kΩ (2k2) 1% (Feedback inferior +3.3V)</t>
  </si>
  <si>
    <t>201_DC-DC_Part2 (+3.3V)</t>
  </si>
  <si>
    <t>R6</t>
  </si>
  <si>
    <t>Resistencia SMD 1.37 kΩ 1% (Feedback inferior +5V)</t>
  </si>
  <si>
    <t>200_DC-DC (+5V)</t>
  </si>
  <si>
    <t>R15</t>
  </si>
  <si>
    <t>Resistencia 1.1 kΩ / ≥ 0.5 W (Limitadora LED D3, disipa 0.438 W)</t>
  </si>
  <si>
    <t>100_AC-DC (Indicador 24V)</t>
  </si>
  <si>
    <t>R13</t>
  </si>
  <si>
    <t>Resistencia SMD 1 kΩ 1% (Feedback inferior -12V)</t>
  </si>
  <si>
    <t>R3</t>
  </si>
  <si>
    <t>Resistencia SMD 523 Ω 1% (Feedback inferior +12V)</t>
  </si>
  <si>
    <t>200_DC-DC (+12V)</t>
  </si>
  <si>
    <t>R10</t>
  </si>
  <si>
    <t>Resistencia SMD 175 Ω 1% (Referencia feedback LM2596)</t>
  </si>
  <si>
    <t>Total de Componentes en Esquemático:</t>
  </si>
  <si>
    <t xml:space="preserve">2. Requisitos Funcionales del Sistema </t>
  </si>
  <si>
    <t>Requerimiento Técnico</t>
  </si>
  <si>
    <t xml:space="preserve">Descripción Técnica y Especificación </t>
  </si>
  <si>
    <t xml:space="preserve">Justificación Técnica / Seguridad </t>
  </si>
  <si>
    <t>Con_2*1_TH_5mm_14.3*10.5_300V_15A</t>
  </si>
  <si>
    <t>Con_3x1_TH_5.0mm</t>
  </si>
  <si>
    <t>F_16A_500V_Cartridge_5x20mm_OGN</t>
  </si>
  <si>
    <t>Var_29V_500A_TH_DISC_10MM</t>
  </si>
  <si>
    <t>BRIDGE RECT 1PHASE 50V 25A TS-6P</t>
  </si>
  <si>
    <t>DC/DC_ADJ_5A_SOIC-8-EP</t>
  </si>
  <si>
    <t>DCDC_1.25/15V_3A_TO-263-5</t>
  </si>
  <si>
    <t>DC/DC_ADJ_-12V_3.5A_SOIC-8-EP</t>
  </si>
  <si>
    <t>D_40V_5A_DO-214AC_Schottky</t>
  </si>
  <si>
    <t>D_Schottky_60V_3A_DO_214AC</t>
  </si>
  <si>
    <t>LED_TH_5MM_GREEN</t>
  </si>
  <si>
    <t>L_6uH_9.4A_CSCM1256</t>
  </si>
  <si>
    <t>L_4.8uH_11A_1312</t>
  </si>
  <si>
    <t>L-SMD_47uH_2.6A_12.5*12.5</t>
  </si>
  <si>
    <t>L_10uH_10A_THT_25*3</t>
  </si>
  <si>
    <t>Cap_6800uF_TH_25*40_50V</t>
  </si>
  <si>
    <t>Cap_470uF_ALU_SMD-16*16*16</t>
  </si>
  <si>
    <t>Cap_220uF_35V_ALU_SMD</t>
  </si>
  <si>
    <t>Cap_47uF_25V_ALU_THT</t>
  </si>
  <si>
    <t>Cap_15uF_X5R-0805_25V</t>
  </si>
  <si>
    <t>Cap_10uF_1206_50V</t>
  </si>
  <si>
    <t>Cap_0.1uF_0603_50V</t>
  </si>
  <si>
    <t>Cap_0.068uF_0603_50V</t>
  </si>
  <si>
    <t>Cap_680pF_0603_50V</t>
  </si>
  <si>
    <t>Cap_100pF_0201_25V</t>
  </si>
  <si>
    <t>Pot_2k_THT_17mm_0.1W</t>
  </si>
  <si>
    <t>Res_200k_0603_1/10W</t>
  </si>
  <si>
    <t>Res_100k_0603_1/10W</t>
  </si>
  <si>
    <t>Res_14k_0603-SMD_0.125W</t>
  </si>
  <si>
    <t>Res_10k_0603_1/10W</t>
  </si>
  <si>
    <t>Res_4k7_0603_1/10W</t>
  </si>
  <si>
    <t>Res_2k2_0603_1/10W</t>
  </si>
  <si>
    <t>Res_1.37k_0603_0.1W</t>
  </si>
  <si>
    <t>Res_1k1_TH_0.5W</t>
  </si>
  <si>
    <t>Res_1k_0603_1/10W</t>
  </si>
  <si>
    <t>Res_523_0603_0.1W</t>
  </si>
  <si>
    <t>Res_175_SMD-1206_2W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</si>
</sst>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1E1E1E"/>
      <name val="Calibri"/>
    </font>
    <font>
      <b/>
      <sz val="10"/>
      <color rgb="FF1E1E1E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2" fontId="4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q-AL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Potencia Máxima por Canal de Salida (W)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Especificaciones'!$F$3</c:f>
              <c:strCache>
                <c:ptCount val="1"/>
                <c:pt idx="0">
                  <c:v>Potencia Máx. (W)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Especificaciones'!$B$4:$B$8</c:f>
              <c:strCache>
                <c:ptCount val="5"/>
                <c:pt idx="0">
                  <c:v>+12V0</c:v>
                </c:pt>
                <c:pt idx="1">
                  <c:v>+5V0</c:v>
                </c:pt>
                <c:pt idx="2">
                  <c:v>+3V3</c:v>
                </c:pt>
                <c:pt idx="3">
                  <c:v>-12V0</c:v>
                </c:pt>
                <c:pt idx="4">
                  <c:v>Variable (1.25V - 15V)</c:v>
                </c:pt>
              </c:strCache>
            </c:strRef>
          </c:cat>
          <c:val>
            <c:numRef>
              <c:f>'1. Especificaciones'!$F$4:$F$8</c:f>
              <c:numCache>
                <c:formatCode>0.00</c:formatCode>
                <c:ptCount val="5"/>
                <c:pt idx="0">
                  <c:v>60</c:v>
                </c:pt>
                <c:pt idx="1">
                  <c:v>25</c:v>
                </c:pt>
                <c:pt idx="2">
                  <c:v>9.8999999999999986</c:v>
                </c:pt>
                <c:pt idx="3">
                  <c:v>12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7-46C5-981A-F7F59B60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Riel de Salida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Potencia (W)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3" topLeftCell="A4" activePane="bottomLeft" state="frozen"/>
      <selection pane="bottomLeft" activeCell="G15" sqref="G15"/>
    </sheetView>
  </sheetViews>
  <sheetFormatPr defaultRowHeight="14.4" x14ac:dyDescent="0.3"/>
  <cols>
    <col min="1" max="1" width="12" customWidth="1"/>
    <col min="2" max="2" width="22" customWidth="1"/>
    <col min="3" max="3" width="18" customWidth="1"/>
    <col min="4" max="4" width="16" customWidth="1"/>
    <col min="5" max="5" width="20" customWidth="1"/>
    <col min="6" max="6" width="18" customWidth="1"/>
    <col min="7" max="7" width="28" customWidth="1"/>
    <col min="8" max="8" width="48" customWidth="1"/>
    <col min="9" max="9" width="20" customWidth="1"/>
  </cols>
  <sheetData>
    <row r="1" spans="1:9" ht="28.05" customHeight="1" x14ac:dyDescent="0.3">
      <c r="A1" s="12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0.050000000000001" hidden="1" customHeight="1" x14ac:dyDescent="0.3"/>
    <row r="3" spans="1:9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0" customHeight="1" x14ac:dyDescent="0.3">
      <c r="A4" s="2" t="s">
        <v>10</v>
      </c>
      <c r="B4" s="2" t="s">
        <v>11</v>
      </c>
      <c r="C4" s="2" t="s">
        <v>12</v>
      </c>
      <c r="D4" s="5">
        <v>12</v>
      </c>
      <c r="E4" s="5">
        <v>5</v>
      </c>
      <c r="F4" s="5">
        <f>D4*E4</f>
        <v>60</v>
      </c>
      <c r="G4" s="2" t="s">
        <v>13</v>
      </c>
      <c r="H4" s="2" t="s">
        <v>14</v>
      </c>
      <c r="I4" s="2" t="s">
        <v>15</v>
      </c>
    </row>
    <row r="5" spans="1:9" ht="30" customHeight="1" x14ac:dyDescent="0.3">
      <c r="A5" s="3" t="s">
        <v>16</v>
      </c>
      <c r="B5" s="3" t="s">
        <v>17</v>
      </c>
      <c r="C5" s="3" t="s">
        <v>18</v>
      </c>
      <c r="D5" s="6">
        <v>5</v>
      </c>
      <c r="E5" s="6">
        <v>5</v>
      </c>
      <c r="F5" s="6">
        <f>D5*E5</f>
        <v>25</v>
      </c>
      <c r="G5" s="3" t="s">
        <v>19</v>
      </c>
      <c r="H5" s="3" t="s">
        <v>20</v>
      </c>
      <c r="I5" s="3" t="s">
        <v>15</v>
      </c>
    </row>
    <row r="6" spans="1:9" ht="30" customHeight="1" x14ac:dyDescent="0.3">
      <c r="A6" s="2" t="s">
        <v>21</v>
      </c>
      <c r="B6" s="2" t="s">
        <v>22</v>
      </c>
      <c r="C6" s="2" t="s">
        <v>23</v>
      </c>
      <c r="D6" s="5">
        <v>3.3</v>
      </c>
      <c r="E6" s="5">
        <v>3</v>
      </c>
      <c r="F6" s="5">
        <f>D6*E6</f>
        <v>9.8999999999999986</v>
      </c>
      <c r="G6" s="2" t="s">
        <v>24</v>
      </c>
      <c r="H6" s="2" t="s">
        <v>25</v>
      </c>
      <c r="I6" s="2" t="s">
        <v>15</v>
      </c>
    </row>
    <row r="7" spans="1:9" ht="30" customHeight="1" x14ac:dyDescent="0.3">
      <c r="A7" s="3" t="s">
        <v>26</v>
      </c>
      <c r="B7" s="3" t="s">
        <v>27</v>
      </c>
      <c r="C7" s="3" t="s">
        <v>28</v>
      </c>
      <c r="D7" s="6">
        <v>12</v>
      </c>
      <c r="E7" s="6">
        <v>1</v>
      </c>
      <c r="F7" s="6">
        <f>D7*E7</f>
        <v>12</v>
      </c>
      <c r="G7" s="3" t="s">
        <v>29</v>
      </c>
      <c r="H7" s="3" t="s">
        <v>30</v>
      </c>
      <c r="I7" s="3" t="s">
        <v>15</v>
      </c>
    </row>
    <row r="8" spans="1:9" ht="30" customHeight="1" x14ac:dyDescent="0.3">
      <c r="A8" s="2" t="s">
        <v>31</v>
      </c>
      <c r="B8" s="2" t="s">
        <v>32</v>
      </c>
      <c r="C8" s="2" t="s">
        <v>33</v>
      </c>
      <c r="D8" s="5">
        <v>15</v>
      </c>
      <c r="E8" s="5">
        <v>3</v>
      </c>
      <c r="F8" s="5">
        <f>D8*E8</f>
        <v>45</v>
      </c>
      <c r="G8" s="2" t="s">
        <v>34</v>
      </c>
      <c r="H8" s="2" t="s">
        <v>35</v>
      </c>
      <c r="I8" s="2" t="s">
        <v>36</v>
      </c>
    </row>
    <row r="9" spans="1:9" ht="24" customHeight="1" x14ac:dyDescent="0.3">
      <c r="A9" s="7"/>
      <c r="B9" s="7"/>
      <c r="C9" s="4" t="s">
        <v>37</v>
      </c>
      <c r="D9" s="8"/>
      <c r="E9" s="9">
        <f>SUM(E4:E8)</f>
        <v>17</v>
      </c>
      <c r="F9" s="9">
        <f>SUM(F4:F8)</f>
        <v>151.9</v>
      </c>
      <c r="G9" s="7"/>
      <c r="H9" s="7"/>
      <c r="I9" s="7"/>
    </row>
  </sheetData>
  <mergeCells count="1">
    <mergeCell ref="A1:I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2" topLeftCell="A3" activePane="bottomLeft" state="frozen"/>
      <selection pane="bottomLeft" activeCell="B15" sqref="B15"/>
    </sheetView>
  </sheetViews>
  <sheetFormatPr defaultRowHeight="14.4" x14ac:dyDescent="0.3"/>
  <cols>
    <col min="1" max="1" width="12" customWidth="1"/>
    <col min="2" max="2" width="28" customWidth="1"/>
    <col min="3" max="3" width="52" customWidth="1"/>
    <col min="4" max="4" width="65" customWidth="1"/>
  </cols>
  <sheetData>
    <row r="1" spans="1:4" ht="28.05" customHeight="1" x14ac:dyDescent="0.3">
      <c r="A1" s="12" t="s">
        <v>278</v>
      </c>
      <c r="B1" s="14"/>
      <c r="C1" s="14"/>
      <c r="D1" s="14"/>
    </row>
    <row r="2" spans="1:4" ht="24" customHeight="1" x14ac:dyDescent="0.3">
      <c r="A2" s="1" t="s">
        <v>38</v>
      </c>
      <c r="B2" s="1" t="s">
        <v>39</v>
      </c>
      <c r="C2" s="1" t="s">
        <v>279</v>
      </c>
      <c r="D2" s="1" t="s">
        <v>40</v>
      </c>
    </row>
    <row r="3" spans="1:4" ht="30" customHeight="1" x14ac:dyDescent="0.3">
      <c r="A3" s="2" t="s">
        <v>41</v>
      </c>
      <c r="B3" s="2" t="s">
        <v>42</v>
      </c>
      <c r="C3" s="2" t="s">
        <v>43</v>
      </c>
      <c r="D3" s="2" t="s">
        <v>44</v>
      </c>
    </row>
    <row r="4" spans="1:4" ht="30" customHeight="1" x14ac:dyDescent="0.3">
      <c r="A4" s="3" t="s">
        <v>45</v>
      </c>
      <c r="B4" s="3" t="s">
        <v>46</v>
      </c>
      <c r="C4" s="3" t="s">
        <v>47</v>
      </c>
      <c r="D4" s="3" t="s">
        <v>48</v>
      </c>
    </row>
    <row r="5" spans="1:4" ht="30" customHeight="1" x14ac:dyDescent="0.3">
      <c r="A5" s="2" t="s">
        <v>49</v>
      </c>
      <c r="B5" s="2" t="s">
        <v>50</v>
      </c>
      <c r="C5" s="2" t="s">
        <v>51</v>
      </c>
      <c r="D5" s="2" t="s">
        <v>52</v>
      </c>
    </row>
    <row r="6" spans="1:4" ht="30" customHeight="1" x14ac:dyDescent="0.3">
      <c r="A6" s="3" t="s">
        <v>53</v>
      </c>
      <c r="B6" s="3" t="s">
        <v>54</v>
      </c>
      <c r="C6" s="3" t="s">
        <v>55</v>
      </c>
      <c r="D6" s="3" t="s">
        <v>56</v>
      </c>
    </row>
    <row r="7" spans="1:4" ht="30" customHeight="1" x14ac:dyDescent="0.3">
      <c r="A7" s="2" t="s">
        <v>57</v>
      </c>
      <c r="B7" s="2" t="s">
        <v>58</v>
      </c>
      <c r="C7" s="2" t="s">
        <v>59</v>
      </c>
      <c r="D7" s="2" t="s">
        <v>60</v>
      </c>
    </row>
    <row r="8" spans="1:4" ht="30" customHeight="1" x14ac:dyDescent="0.3">
      <c r="A8" s="3" t="s">
        <v>61</v>
      </c>
      <c r="B8" s="3" t="s">
        <v>62</v>
      </c>
      <c r="C8" s="3" t="s">
        <v>63</v>
      </c>
      <c r="D8" s="3" t="s">
        <v>64</v>
      </c>
    </row>
    <row r="9" spans="1:4" ht="30" customHeight="1" x14ac:dyDescent="0.3">
      <c r="A9" s="2" t="s">
        <v>65</v>
      </c>
      <c r="B9" s="2" t="s">
        <v>66</v>
      </c>
      <c r="C9" s="2" t="s">
        <v>67</v>
      </c>
      <c r="D9" s="2" t="s">
        <v>68</v>
      </c>
    </row>
    <row r="10" spans="1:4" ht="30" customHeight="1" x14ac:dyDescent="0.3">
      <c r="A10" s="3" t="s">
        <v>69</v>
      </c>
      <c r="B10" s="3" t="s">
        <v>70</v>
      </c>
      <c r="C10" s="3" t="s">
        <v>71</v>
      </c>
      <c r="D10" s="3" t="s">
        <v>72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3" topLeftCell="A4" activePane="bottomLeft" state="frozen"/>
      <selection pane="bottomLeft" activeCell="D15" sqref="D15"/>
    </sheetView>
  </sheetViews>
  <sheetFormatPr defaultRowHeight="14.4" x14ac:dyDescent="0.3"/>
  <cols>
    <col min="1" max="1" width="12" customWidth="1"/>
    <col min="2" max="2" width="22" customWidth="1"/>
    <col min="3" max="3" width="35" customWidth="1"/>
    <col min="4" max="4" width="58" customWidth="1"/>
    <col min="5" max="5" width="45" customWidth="1"/>
  </cols>
  <sheetData>
    <row r="1" spans="1:5" ht="28.05" customHeight="1" x14ac:dyDescent="0.3">
      <c r="A1" s="12" t="s">
        <v>73</v>
      </c>
      <c r="B1" s="14"/>
      <c r="C1" s="14"/>
      <c r="D1" s="14"/>
      <c r="E1" s="14"/>
    </row>
    <row r="2" spans="1:5" ht="10.050000000000001" hidden="1" customHeight="1" x14ac:dyDescent="0.3"/>
    <row r="3" spans="1:5" ht="30" customHeight="1" x14ac:dyDescent="0.3">
      <c r="A3" s="1" t="s">
        <v>38</v>
      </c>
      <c r="B3" s="1" t="s">
        <v>74</v>
      </c>
      <c r="C3" s="1" t="s">
        <v>75</v>
      </c>
      <c r="D3" s="1" t="s">
        <v>280</v>
      </c>
      <c r="E3" s="1" t="s">
        <v>76</v>
      </c>
    </row>
    <row r="4" spans="1:5" ht="30" customHeight="1" x14ac:dyDescent="0.3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</row>
    <row r="5" spans="1:5" ht="30" customHeight="1" x14ac:dyDescent="0.3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</row>
    <row r="6" spans="1:5" ht="30" customHeight="1" x14ac:dyDescent="0.3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</row>
    <row r="7" spans="1:5" ht="30" customHeight="1" x14ac:dyDescent="0.3">
      <c r="A7" s="3" t="s">
        <v>92</v>
      </c>
      <c r="B7" s="3" t="s">
        <v>93</v>
      </c>
      <c r="C7" s="3" t="s">
        <v>94</v>
      </c>
      <c r="D7" s="3" t="s">
        <v>95</v>
      </c>
      <c r="E7" s="3" t="s">
        <v>96</v>
      </c>
    </row>
    <row r="8" spans="1:5" ht="30" customHeight="1" x14ac:dyDescent="0.3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3" topLeftCell="A4" activePane="bottomLeft" state="frozen"/>
      <selection pane="bottomLeft" activeCell="E3" sqref="E3"/>
    </sheetView>
  </sheetViews>
  <sheetFormatPr defaultRowHeight="14.4" x14ac:dyDescent="0.3"/>
  <cols>
    <col min="1" max="1" width="12" customWidth="1"/>
    <col min="2" max="2" width="24" customWidth="1"/>
    <col min="3" max="3" width="30" customWidth="1"/>
    <col min="4" max="4" width="26" customWidth="1"/>
    <col min="5" max="5" width="68" customWidth="1"/>
  </cols>
  <sheetData>
    <row r="1" spans="1:5" ht="28.05" customHeight="1" x14ac:dyDescent="0.3">
      <c r="A1" s="12" t="s">
        <v>102</v>
      </c>
      <c r="B1" s="14"/>
      <c r="C1" s="14"/>
      <c r="D1" s="14"/>
      <c r="E1" s="14"/>
    </row>
    <row r="2" spans="1:5" ht="10.050000000000001" hidden="1" customHeight="1" x14ac:dyDescent="0.3"/>
    <row r="3" spans="1:5" s="10" customFormat="1" ht="30" customHeight="1" x14ac:dyDescent="0.3">
      <c r="A3" s="1" t="s">
        <v>103</v>
      </c>
      <c r="B3" s="1" t="s">
        <v>104</v>
      </c>
      <c r="C3" s="1" t="s">
        <v>105</v>
      </c>
      <c r="D3" s="1" t="s">
        <v>106</v>
      </c>
      <c r="E3" s="1" t="s">
        <v>281</v>
      </c>
    </row>
    <row r="4" spans="1:5" s="10" customFormat="1" ht="30" customHeight="1" x14ac:dyDescent="0.3">
      <c r="A4" s="2" t="s">
        <v>107</v>
      </c>
      <c r="B4" s="2" t="s">
        <v>108</v>
      </c>
      <c r="C4" s="2" t="s">
        <v>109</v>
      </c>
      <c r="D4" s="2" t="s">
        <v>110</v>
      </c>
      <c r="E4" s="2" t="s">
        <v>111</v>
      </c>
    </row>
    <row r="5" spans="1:5" s="10" customFormat="1" ht="30" customHeight="1" x14ac:dyDescent="0.3">
      <c r="A5" s="3" t="s">
        <v>112</v>
      </c>
      <c r="B5" s="3" t="s">
        <v>113</v>
      </c>
      <c r="C5" s="3" t="s">
        <v>114</v>
      </c>
      <c r="D5" s="3" t="s">
        <v>115</v>
      </c>
      <c r="E5" s="3" t="s">
        <v>116</v>
      </c>
    </row>
    <row r="6" spans="1:5" s="10" customFormat="1" ht="30" customHeight="1" x14ac:dyDescent="0.3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121</v>
      </c>
    </row>
    <row r="7" spans="1:5" s="10" customFormat="1" ht="30" customHeight="1" x14ac:dyDescent="0.3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126</v>
      </c>
    </row>
    <row r="8" spans="1:5" s="10" customFormat="1" ht="30" customHeight="1" x14ac:dyDescent="0.3">
      <c r="A8" s="2" t="s">
        <v>127</v>
      </c>
      <c r="B8" s="2" t="s">
        <v>128</v>
      </c>
      <c r="C8" s="2" t="s">
        <v>129</v>
      </c>
      <c r="D8" s="2" t="s">
        <v>130</v>
      </c>
      <c r="E8" s="2" t="s">
        <v>131</v>
      </c>
    </row>
    <row r="9" spans="1:5" s="10" customFormat="1" ht="30" customHeight="1" x14ac:dyDescent="0.3">
      <c r="A9" s="3" t="s">
        <v>132</v>
      </c>
      <c r="B9" s="3" t="s">
        <v>133</v>
      </c>
      <c r="C9" s="3" t="s">
        <v>134</v>
      </c>
      <c r="D9" s="3" t="s">
        <v>135</v>
      </c>
      <c r="E9" s="3" t="s">
        <v>136</v>
      </c>
    </row>
    <row r="10" spans="1:5" s="10" customFormat="1" ht="30" customHeight="1" x14ac:dyDescent="0.3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141</v>
      </c>
    </row>
    <row r="11" spans="1:5" s="10" customFormat="1" ht="30" customHeight="1" x14ac:dyDescent="0.3">
      <c r="A11" s="3" t="s">
        <v>142</v>
      </c>
      <c r="B11" s="3" t="s">
        <v>143</v>
      </c>
      <c r="C11" s="3" t="s">
        <v>144</v>
      </c>
      <c r="D11" s="3" t="s">
        <v>145</v>
      </c>
      <c r="E11" s="3" t="s">
        <v>146</v>
      </c>
    </row>
    <row r="12" spans="1:5" s="10" customFormat="1" ht="30" customHeight="1" x14ac:dyDescent="0.3">
      <c r="A12" s="2" t="s">
        <v>147</v>
      </c>
      <c r="B12" s="2" t="s">
        <v>148</v>
      </c>
      <c r="C12" s="2" t="s">
        <v>149</v>
      </c>
      <c r="D12" s="2" t="s">
        <v>150</v>
      </c>
      <c r="E12" s="2" t="s">
        <v>151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zoomScaleNormal="100" workbookViewId="0">
      <pane ySplit="3" topLeftCell="A4" activePane="bottomLeft" state="frozen"/>
      <selection pane="bottomLeft" activeCell="H41" sqref="H41"/>
    </sheetView>
  </sheetViews>
  <sheetFormatPr defaultRowHeight="14.4" x14ac:dyDescent="0.3"/>
  <cols>
    <col min="1" max="1" width="8" customWidth="1"/>
    <col min="2" max="2" width="26" customWidth="1"/>
    <col min="3" max="3" width="22" customWidth="1"/>
    <col min="4" max="4" width="58" customWidth="1"/>
    <col min="5" max="5" width="12" customWidth="1"/>
    <col min="6" max="6" width="30" customWidth="1"/>
    <col min="7" max="7" width="37.33203125" customWidth="1"/>
  </cols>
  <sheetData>
    <row r="1" spans="1:7" ht="28.05" customHeight="1" x14ac:dyDescent="0.3">
      <c r="A1" s="12" t="s">
        <v>152</v>
      </c>
      <c r="B1" s="13"/>
      <c r="C1" s="13"/>
      <c r="D1" s="13"/>
      <c r="E1" s="13"/>
      <c r="F1" s="13"/>
      <c r="G1" s="13"/>
    </row>
    <row r="2" spans="1:7" ht="10.050000000000001" hidden="1" customHeight="1" x14ac:dyDescent="0.3">
      <c r="A2" s="11"/>
      <c r="B2" s="11"/>
      <c r="C2" s="11"/>
      <c r="D2" s="11"/>
      <c r="E2" s="11"/>
      <c r="F2" s="11"/>
      <c r="G2" s="11"/>
    </row>
    <row r="3" spans="1:7" ht="24" customHeight="1" x14ac:dyDescent="0.3">
      <c r="A3" s="1" t="s">
        <v>153</v>
      </c>
      <c r="B3" s="1" t="s">
        <v>154</v>
      </c>
      <c r="C3" s="1" t="s">
        <v>74</v>
      </c>
      <c r="D3" s="1" t="s">
        <v>155</v>
      </c>
      <c r="E3" s="1" t="s">
        <v>156</v>
      </c>
      <c r="F3" s="1" t="s">
        <v>157</v>
      </c>
      <c r="G3" s="1" t="s">
        <v>158</v>
      </c>
    </row>
    <row r="4" spans="1:7" ht="22.05" customHeight="1" x14ac:dyDescent="0.3">
      <c r="A4" s="2">
        <v>1</v>
      </c>
      <c r="B4" s="2" t="s">
        <v>159</v>
      </c>
      <c r="C4" s="2" t="s">
        <v>160</v>
      </c>
      <c r="D4" s="2" t="s">
        <v>161</v>
      </c>
      <c r="E4" s="2">
        <v>1</v>
      </c>
      <c r="F4" s="2" t="s">
        <v>162</v>
      </c>
      <c r="G4" s="2" t="s">
        <v>282</v>
      </c>
    </row>
    <row r="5" spans="1:7" ht="33.6" customHeight="1" x14ac:dyDescent="0.3">
      <c r="A5" s="3">
        <v>2</v>
      </c>
      <c r="B5" s="3" t="s">
        <v>163</v>
      </c>
      <c r="C5" s="3" t="s">
        <v>160</v>
      </c>
      <c r="D5" s="3" t="s">
        <v>164</v>
      </c>
      <c r="E5" s="3">
        <v>1</v>
      </c>
      <c r="F5" s="3" t="s">
        <v>165</v>
      </c>
      <c r="G5" s="3" t="s">
        <v>283</v>
      </c>
    </row>
    <row r="6" spans="1:7" ht="22.05" customHeight="1" x14ac:dyDescent="0.3">
      <c r="A6" s="2">
        <v>3</v>
      </c>
      <c r="B6" s="2" t="s">
        <v>166</v>
      </c>
      <c r="C6" s="2" t="s">
        <v>167</v>
      </c>
      <c r="D6" s="2" t="s">
        <v>168</v>
      </c>
      <c r="E6" s="2">
        <v>1</v>
      </c>
      <c r="F6" s="2" t="s">
        <v>169</v>
      </c>
      <c r="G6" s="2" t="s">
        <v>170</v>
      </c>
    </row>
    <row r="7" spans="1:7" ht="22.05" customHeight="1" x14ac:dyDescent="0.3">
      <c r="A7" s="3">
        <v>4</v>
      </c>
      <c r="B7" s="3" t="s">
        <v>171</v>
      </c>
      <c r="C7" s="3" t="s">
        <v>172</v>
      </c>
      <c r="D7" s="3" t="s">
        <v>173</v>
      </c>
      <c r="E7" s="3">
        <v>1</v>
      </c>
      <c r="F7" s="3" t="s">
        <v>162</v>
      </c>
      <c r="G7" s="3" t="s">
        <v>284</v>
      </c>
    </row>
    <row r="8" spans="1:7" ht="22.05" customHeight="1" x14ac:dyDescent="0.3">
      <c r="A8" s="2">
        <v>5</v>
      </c>
      <c r="B8" s="2" t="s">
        <v>174</v>
      </c>
      <c r="C8" s="2" t="s">
        <v>172</v>
      </c>
      <c r="D8" s="2" t="s">
        <v>175</v>
      </c>
      <c r="E8" s="2">
        <v>1</v>
      </c>
      <c r="F8" s="2" t="s">
        <v>162</v>
      </c>
      <c r="G8" s="2" t="s">
        <v>285</v>
      </c>
    </row>
    <row r="9" spans="1:7" ht="22.05" customHeight="1" x14ac:dyDescent="0.3">
      <c r="A9" s="3">
        <v>6</v>
      </c>
      <c r="B9" s="3" t="s">
        <v>176</v>
      </c>
      <c r="C9" s="3" t="s">
        <v>177</v>
      </c>
      <c r="D9" s="3" t="s">
        <v>178</v>
      </c>
      <c r="E9" s="3">
        <v>1</v>
      </c>
      <c r="F9" s="3" t="s">
        <v>162</v>
      </c>
      <c r="G9" s="3" t="s">
        <v>286</v>
      </c>
    </row>
    <row r="10" spans="1:7" ht="21.6" customHeight="1" x14ac:dyDescent="0.3">
      <c r="A10" s="2">
        <v>7</v>
      </c>
      <c r="B10" s="2" t="s">
        <v>179</v>
      </c>
      <c r="C10" s="2" t="s">
        <v>180</v>
      </c>
      <c r="D10" s="2" t="s">
        <v>181</v>
      </c>
      <c r="E10" s="2">
        <v>3</v>
      </c>
      <c r="F10" s="2" t="s">
        <v>182</v>
      </c>
      <c r="G10" s="2" t="s">
        <v>287</v>
      </c>
    </row>
    <row r="11" spans="1:7" ht="35.4" customHeight="1" x14ac:dyDescent="0.3">
      <c r="A11" s="3">
        <v>8</v>
      </c>
      <c r="B11" s="3" t="s">
        <v>183</v>
      </c>
      <c r="C11" s="3" t="s">
        <v>180</v>
      </c>
      <c r="D11" s="3" t="s">
        <v>184</v>
      </c>
      <c r="E11" s="3">
        <v>1</v>
      </c>
      <c r="F11" s="3" t="s">
        <v>185</v>
      </c>
      <c r="G11" s="3" t="s">
        <v>288</v>
      </c>
    </row>
    <row r="12" spans="1:7" ht="39" customHeight="1" x14ac:dyDescent="0.3">
      <c r="A12" s="2">
        <v>9</v>
      </c>
      <c r="B12" s="2" t="s">
        <v>186</v>
      </c>
      <c r="C12" s="2" t="s">
        <v>180</v>
      </c>
      <c r="D12" s="2" t="s">
        <v>187</v>
      </c>
      <c r="E12" s="2">
        <v>1</v>
      </c>
      <c r="F12" s="2" t="s">
        <v>188</v>
      </c>
      <c r="G12" s="2" t="s">
        <v>289</v>
      </c>
    </row>
    <row r="13" spans="1:7" ht="22.05" customHeight="1" x14ac:dyDescent="0.3">
      <c r="A13" s="3">
        <v>10</v>
      </c>
      <c r="B13" s="3" t="s">
        <v>189</v>
      </c>
      <c r="C13" s="3" t="s">
        <v>177</v>
      </c>
      <c r="D13" s="3" t="s">
        <v>190</v>
      </c>
      <c r="E13" s="3">
        <v>1</v>
      </c>
      <c r="F13" s="3" t="s">
        <v>191</v>
      </c>
      <c r="G13" s="3" t="s">
        <v>290</v>
      </c>
    </row>
    <row r="14" spans="1:7" ht="22.05" customHeight="1" x14ac:dyDescent="0.3">
      <c r="A14" s="2">
        <v>11</v>
      </c>
      <c r="B14" s="2" t="s">
        <v>192</v>
      </c>
      <c r="C14" s="2" t="s">
        <v>177</v>
      </c>
      <c r="D14" s="2" t="s">
        <v>193</v>
      </c>
      <c r="E14" s="2">
        <v>1</v>
      </c>
      <c r="F14" s="2" t="s">
        <v>194</v>
      </c>
      <c r="G14" s="2" t="s">
        <v>291</v>
      </c>
    </row>
    <row r="15" spans="1:7" ht="22.05" customHeight="1" x14ac:dyDescent="0.3">
      <c r="A15" s="3">
        <v>12</v>
      </c>
      <c r="B15" s="3" t="s">
        <v>195</v>
      </c>
      <c r="C15" s="3" t="s">
        <v>196</v>
      </c>
      <c r="D15" s="3" t="s">
        <v>197</v>
      </c>
      <c r="E15" s="3">
        <v>1</v>
      </c>
      <c r="F15" s="3" t="s">
        <v>162</v>
      </c>
      <c r="G15" s="3" t="s">
        <v>292</v>
      </c>
    </row>
    <row r="16" spans="1:7" ht="22.05" customHeight="1" x14ac:dyDescent="0.3">
      <c r="A16" s="2">
        <v>13</v>
      </c>
      <c r="B16" s="2" t="s">
        <v>198</v>
      </c>
      <c r="C16" s="2" t="s">
        <v>199</v>
      </c>
      <c r="D16" s="2" t="s">
        <v>200</v>
      </c>
      <c r="E16" s="2">
        <v>1</v>
      </c>
      <c r="F16" s="2" t="s">
        <v>201</v>
      </c>
      <c r="G16" s="2" t="s">
        <v>293</v>
      </c>
    </row>
    <row r="17" spans="1:7" ht="22.05" customHeight="1" x14ac:dyDescent="0.3">
      <c r="A17" s="3">
        <v>14</v>
      </c>
      <c r="B17" s="3" t="s">
        <v>202</v>
      </c>
      <c r="C17" s="3" t="s">
        <v>199</v>
      </c>
      <c r="D17" s="3" t="s">
        <v>203</v>
      </c>
      <c r="E17" s="3">
        <v>2</v>
      </c>
      <c r="F17" s="3" t="s">
        <v>204</v>
      </c>
      <c r="G17" s="3" t="s">
        <v>294</v>
      </c>
    </row>
    <row r="18" spans="1:7" ht="22.05" customHeight="1" x14ac:dyDescent="0.3">
      <c r="A18" s="2">
        <v>15</v>
      </c>
      <c r="B18" s="2" t="s">
        <v>205</v>
      </c>
      <c r="C18" s="2" t="s">
        <v>199</v>
      </c>
      <c r="D18" s="2" t="s">
        <v>206</v>
      </c>
      <c r="E18" s="2">
        <v>2</v>
      </c>
      <c r="F18" s="2" t="s">
        <v>207</v>
      </c>
      <c r="G18" s="2" t="s">
        <v>295</v>
      </c>
    </row>
    <row r="19" spans="1:7" ht="22.05" customHeight="1" x14ac:dyDescent="0.3">
      <c r="A19" s="3">
        <v>16</v>
      </c>
      <c r="B19" s="3" t="s">
        <v>208</v>
      </c>
      <c r="C19" s="3" t="s">
        <v>199</v>
      </c>
      <c r="D19" s="3" t="s">
        <v>209</v>
      </c>
      <c r="E19" s="3">
        <v>1</v>
      </c>
      <c r="F19" s="3" t="s">
        <v>210</v>
      </c>
      <c r="G19" s="3" t="s">
        <v>296</v>
      </c>
    </row>
    <row r="20" spans="1:7" ht="22.05" customHeight="1" x14ac:dyDescent="0.3">
      <c r="A20" s="2">
        <v>17</v>
      </c>
      <c r="B20" s="2" t="s">
        <v>211</v>
      </c>
      <c r="C20" s="2" t="s">
        <v>212</v>
      </c>
      <c r="D20" s="2" t="s">
        <v>213</v>
      </c>
      <c r="E20" s="2">
        <v>3</v>
      </c>
      <c r="F20" s="2" t="s">
        <v>162</v>
      </c>
      <c r="G20" s="2" t="s">
        <v>297</v>
      </c>
    </row>
    <row r="21" spans="1:7" ht="22.05" customHeight="1" x14ac:dyDescent="0.3">
      <c r="A21" s="3">
        <v>18</v>
      </c>
      <c r="B21" s="3" t="s">
        <v>214</v>
      </c>
      <c r="C21" s="3" t="s">
        <v>212</v>
      </c>
      <c r="D21" s="3" t="s">
        <v>215</v>
      </c>
      <c r="E21" s="3">
        <v>1</v>
      </c>
      <c r="F21" s="3" t="s">
        <v>216</v>
      </c>
      <c r="G21" s="3" t="s">
        <v>298</v>
      </c>
    </row>
    <row r="22" spans="1:7" ht="22.05" customHeight="1" x14ac:dyDescent="0.3">
      <c r="A22" s="2">
        <v>19</v>
      </c>
      <c r="B22" s="2" t="s">
        <v>217</v>
      </c>
      <c r="C22" s="2" t="s">
        <v>212</v>
      </c>
      <c r="D22" s="2" t="s">
        <v>218</v>
      </c>
      <c r="E22" s="2">
        <v>1</v>
      </c>
      <c r="F22" s="2" t="s">
        <v>219</v>
      </c>
      <c r="G22" s="2" t="s">
        <v>299</v>
      </c>
    </row>
    <row r="23" spans="1:7" ht="22.05" customHeight="1" x14ac:dyDescent="0.3">
      <c r="A23" s="3">
        <v>20</v>
      </c>
      <c r="B23" s="3" t="s">
        <v>220</v>
      </c>
      <c r="C23" s="3" t="s">
        <v>212</v>
      </c>
      <c r="D23" s="3" t="s">
        <v>221</v>
      </c>
      <c r="E23" s="3">
        <v>3</v>
      </c>
      <c r="F23" s="3" t="s">
        <v>222</v>
      </c>
      <c r="G23" s="3" t="s">
        <v>300</v>
      </c>
    </row>
    <row r="24" spans="1:7" ht="22.05" customHeight="1" x14ac:dyDescent="0.3">
      <c r="A24" s="2">
        <v>21</v>
      </c>
      <c r="B24" s="2" t="s">
        <v>223</v>
      </c>
      <c r="C24" s="2" t="s">
        <v>212</v>
      </c>
      <c r="D24" s="2" t="s">
        <v>224</v>
      </c>
      <c r="E24" s="2">
        <v>1</v>
      </c>
      <c r="F24" s="2" t="s">
        <v>225</v>
      </c>
      <c r="G24" s="2" t="s">
        <v>301</v>
      </c>
    </row>
    <row r="25" spans="1:7" ht="22.05" customHeight="1" x14ac:dyDescent="0.3">
      <c r="A25" s="3">
        <v>22</v>
      </c>
      <c r="B25" s="3" t="s">
        <v>226</v>
      </c>
      <c r="C25" s="3" t="s">
        <v>212</v>
      </c>
      <c r="D25" s="3" t="s">
        <v>227</v>
      </c>
      <c r="E25" s="3">
        <v>6</v>
      </c>
      <c r="F25" s="3" t="s">
        <v>228</v>
      </c>
      <c r="G25" s="3" t="s">
        <v>302</v>
      </c>
    </row>
    <row r="26" spans="1:7" ht="22.05" customHeight="1" x14ac:dyDescent="0.3">
      <c r="A26" s="2">
        <v>23</v>
      </c>
      <c r="B26" s="2" t="s">
        <v>229</v>
      </c>
      <c r="C26" s="2" t="s">
        <v>212</v>
      </c>
      <c r="D26" s="2" t="s">
        <v>230</v>
      </c>
      <c r="E26" s="2">
        <v>4</v>
      </c>
      <c r="F26" s="2" t="s">
        <v>231</v>
      </c>
      <c r="G26" s="2" t="s">
        <v>232</v>
      </c>
    </row>
    <row r="27" spans="1:7" ht="30.6" customHeight="1" x14ac:dyDescent="0.3">
      <c r="A27" s="3">
        <v>24</v>
      </c>
      <c r="B27" s="3" t="s">
        <v>233</v>
      </c>
      <c r="C27" s="3" t="s">
        <v>212</v>
      </c>
      <c r="D27" s="3" t="s">
        <v>234</v>
      </c>
      <c r="E27" s="3">
        <v>8</v>
      </c>
      <c r="F27" s="3" t="s">
        <v>235</v>
      </c>
      <c r="G27" s="3" t="s">
        <v>303</v>
      </c>
    </row>
    <row r="28" spans="1:7" ht="30" customHeight="1" x14ac:dyDescent="0.3">
      <c r="A28" s="2">
        <v>25</v>
      </c>
      <c r="B28" s="2" t="s">
        <v>236</v>
      </c>
      <c r="C28" s="2" t="s">
        <v>212</v>
      </c>
      <c r="D28" s="2" t="s">
        <v>237</v>
      </c>
      <c r="E28" s="2">
        <v>1</v>
      </c>
      <c r="F28" s="2" t="s">
        <v>238</v>
      </c>
      <c r="G28" s="2" t="s">
        <v>304</v>
      </c>
    </row>
    <row r="29" spans="1:7" ht="22.05" customHeight="1" x14ac:dyDescent="0.3">
      <c r="A29" s="3">
        <v>26</v>
      </c>
      <c r="B29" s="3" t="s">
        <v>239</v>
      </c>
      <c r="C29" s="3" t="s">
        <v>212</v>
      </c>
      <c r="D29" s="3" t="s">
        <v>240</v>
      </c>
      <c r="E29" s="3">
        <v>2</v>
      </c>
      <c r="F29" s="3" t="s">
        <v>241</v>
      </c>
      <c r="G29" s="3" t="s">
        <v>305</v>
      </c>
    </row>
    <row r="30" spans="1:7" ht="22.05" customHeight="1" x14ac:dyDescent="0.3">
      <c r="A30" s="2">
        <v>27</v>
      </c>
      <c r="B30" s="2" t="s">
        <v>242</v>
      </c>
      <c r="C30" s="2" t="s">
        <v>212</v>
      </c>
      <c r="D30" s="2" t="s">
        <v>243</v>
      </c>
      <c r="E30" s="2">
        <v>3</v>
      </c>
      <c r="F30" s="2" t="s">
        <v>244</v>
      </c>
      <c r="G30" s="2" t="s">
        <v>306</v>
      </c>
    </row>
    <row r="31" spans="1:7" ht="22.05" customHeight="1" x14ac:dyDescent="0.3">
      <c r="A31" s="3">
        <v>28</v>
      </c>
      <c r="B31" s="3" t="s">
        <v>245</v>
      </c>
      <c r="C31" s="3" t="s">
        <v>246</v>
      </c>
      <c r="D31" s="3" t="s">
        <v>247</v>
      </c>
      <c r="E31" s="3">
        <v>1</v>
      </c>
      <c r="F31" s="3" t="s">
        <v>248</v>
      </c>
      <c r="G31" s="3" t="s">
        <v>307</v>
      </c>
    </row>
    <row r="32" spans="1:7" ht="22.05" customHeight="1" x14ac:dyDescent="0.3">
      <c r="A32" s="2">
        <v>29</v>
      </c>
      <c r="B32" s="2" t="s">
        <v>249</v>
      </c>
      <c r="C32" s="2" t="s">
        <v>250</v>
      </c>
      <c r="D32" s="2" t="s">
        <v>251</v>
      </c>
      <c r="E32" s="2">
        <v>1</v>
      </c>
      <c r="F32" s="2" t="s">
        <v>188</v>
      </c>
      <c r="G32" s="2" t="s">
        <v>308</v>
      </c>
    </row>
    <row r="33" spans="1:7" ht="22.05" customHeight="1" x14ac:dyDescent="0.3">
      <c r="A33" s="3">
        <v>30</v>
      </c>
      <c r="B33" s="3" t="s">
        <v>252</v>
      </c>
      <c r="C33" s="3" t="s">
        <v>250</v>
      </c>
      <c r="D33" s="3" t="s">
        <v>253</v>
      </c>
      <c r="E33" s="3">
        <v>3</v>
      </c>
      <c r="F33" s="3" t="s">
        <v>254</v>
      </c>
      <c r="G33" s="3" t="s">
        <v>309</v>
      </c>
    </row>
    <row r="34" spans="1:7" ht="22.05" customHeight="1" x14ac:dyDescent="0.3">
      <c r="A34" s="2">
        <v>31</v>
      </c>
      <c r="B34" s="2" t="s">
        <v>255</v>
      </c>
      <c r="C34" s="2" t="s">
        <v>250</v>
      </c>
      <c r="D34" s="2" t="s">
        <v>256</v>
      </c>
      <c r="E34" s="2">
        <v>1</v>
      </c>
      <c r="F34" s="2" t="s">
        <v>188</v>
      </c>
      <c r="G34" s="2" t="s">
        <v>310</v>
      </c>
    </row>
    <row r="35" spans="1:7" ht="22.05" customHeight="1" x14ac:dyDescent="0.3">
      <c r="A35" s="3">
        <v>32</v>
      </c>
      <c r="B35" s="3" t="s">
        <v>257</v>
      </c>
      <c r="C35" s="3" t="s">
        <v>250</v>
      </c>
      <c r="D35" s="3" t="s">
        <v>258</v>
      </c>
      <c r="E35" s="3">
        <v>3</v>
      </c>
      <c r="F35" s="3" t="s">
        <v>182</v>
      </c>
      <c r="G35" s="3" t="s">
        <v>311</v>
      </c>
    </row>
    <row r="36" spans="1:7" ht="22.05" customHeight="1" x14ac:dyDescent="0.3">
      <c r="A36" s="2">
        <v>33</v>
      </c>
      <c r="B36" s="2" t="s">
        <v>259</v>
      </c>
      <c r="C36" s="2" t="s">
        <v>250</v>
      </c>
      <c r="D36" s="2" t="s">
        <v>260</v>
      </c>
      <c r="E36" s="2">
        <v>1</v>
      </c>
      <c r="F36" s="2" t="s">
        <v>188</v>
      </c>
      <c r="G36" s="2" t="s">
        <v>312</v>
      </c>
    </row>
    <row r="37" spans="1:7" ht="22.05" customHeight="1" x14ac:dyDescent="0.3">
      <c r="A37" s="3">
        <v>34</v>
      </c>
      <c r="B37" s="3" t="s">
        <v>261</v>
      </c>
      <c r="C37" s="3" t="s">
        <v>250</v>
      </c>
      <c r="D37" s="3" t="s">
        <v>262</v>
      </c>
      <c r="E37" s="3">
        <v>1</v>
      </c>
      <c r="F37" s="3" t="s">
        <v>263</v>
      </c>
      <c r="G37" s="3" t="s">
        <v>313</v>
      </c>
    </row>
    <row r="38" spans="1:7" ht="22.05" customHeight="1" x14ac:dyDescent="0.3">
      <c r="A38" s="2">
        <v>35</v>
      </c>
      <c r="B38" s="2" t="s">
        <v>264</v>
      </c>
      <c r="C38" s="2" t="s">
        <v>250</v>
      </c>
      <c r="D38" s="2" t="s">
        <v>265</v>
      </c>
      <c r="E38" s="2">
        <v>1</v>
      </c>
      <c r="F38" s="2" t="s">
        <v>266</v>
      </c>
      <c r="G38" s="2" t="s">
        <v>314</v>
      </c>
    </row>
    <row r="39" spans="1:7" ht="22.05" customHeight="1" x14ac:dyDescent="0.3">
      <c r="A39" s="3">
        <v>36</v>
      </c>
      <c r="B39" s="3" t="s">
        <v>267</v>
      </c>
      <c r="C39" s="3" t="s">
        <v>250</v>
      </c>
      <c r="D39" s="3" t="s">
        <v>268</v>
      </c>
      <c r="E39" s="3">
        <v>1</v>
      </c>
      <c r="F39" s="3" t="s">
        <v>269</v>
      </c>
      <c r="G39" s="3" t="s">
        <v>315</v>
      </c>
    </row>
    <row r="40" spans="1:7" ht="22.05" customHeight="1" x14ac:dyDescent="0.3">
      <c r="A40" s="2">
        <v>37</v>
      </c>
      <c r="B40" s="2" t="s">
        <v>270</v>
      </c>
      <c r="C40" s="2" t="s">
        <v>250</v>
      </c>
      <c r="D40" s="2" t="s">
        <v>271</v>
      </c>
      <c r="E40" s="2">
        <v>1</v>
      </c>
      <c r="F40" s="2" t="s">
        <v>188</v>
      </c>
      <c r="G40" s="2" t="s">
        <v>316</v>
      </c>
    </row>
    <row r="41" spans="1:7" ht="22.05" customHeight="1" x14ac:dyDescent="0.3">
      <c r="A41" s="3">
        <v>38</v>
      </c>
      <c r="B41" s="3" t="s">
        <v>272</v>
      </c>
      <c r="C41" s="3" t="s">
        <v>250</v>
      </c>
      <c r="D41" s="3" t="s">
        <v>273</v>
      </c>
      <c r="E41" s="3">
        <v>1</v>
      </c>
      <c r="F41" s="3" t="s">
        <v>274</v>
      </c>
      <c r="G41" s="3" t="s">
        <v>317</v>
      </c>
    </row>
    <row r="42" spans="1:7" ht="22.05" customHeight="1" x14ac:dyDescent="0.3">
      <c r="A42" s="2">
        <v>39</v>
      </c>
      <c r="B42" s="2" t="s">
        <v>275</v>
      </c>
      <c r="C42" s="2" t="s">
        <v>250</v>
      </c>
      <c r="D42" s="2" t="s">
        <v>276</v>
      </c>
      <c r="E42" s="2">
        <v>1</v>
      </c>
      <c r="F42" s="2" t="s">
        <v>248</v>
      </c>
      <c r="G42" s="2" t="s">
        <v>318</v>
      </c>
    </row>
    <row r="43" spans="1:7" ht="24" customHeight="1" x14ac:dyDescent="0.3">
      <c r="A43" s="4"/>
      <c r="B43" s="4"/>
      <c r="C43" s="4"/>
      <c r="D43" s="4" t="s">
        <v>277</v>
      </c>
      <c r="E43" s="4">
        <f>SUM(E4:E42)</f>
        <v>69</v>
      </c>
      <c r="F43" s="4"/>
      <c r="G43" s="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Fletët e punës</vt:lpstr>
      </vt:variant>
      <vt:variant>
        <vt:i4>5</vt:i4>
      </vt:variant>
    </vt:vector>
  </HeadingPairs>
  <TitlesOfParts>
    <vt:vector size="5" baseType="lpstr">
      <vt:lpstr>1. Especificaciones</vt:lpstr>
      <vt:lpstr>2. Req. Funcionales</vt:lpstr>
      <vt:lpstr>3. Req. No Funcionales</vt:lpstr>
      <vt:lpstr>4. Restricciones</vt:lpstr>
      <vt:lpstr>5. Lista de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Oviedo Rios</cp:lastModifiedBy>
  <dcterms:created xsi:type="dcterms:W3CDTF">2026-10-24T01:40:23Z</dcterms:created>
  <dcterms:modified xsi:type="dcterms:W3CDTF">2026-10-24T02:25:12Z</dcterms:modified>
</cp:coreProperties>
</file>