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er\Desktop\Tareas\Prototipado\Git hub\Proyectos\Proyect1_power_supply\Documentacion\"/>
    </mc:Choice>
  </mc:AlternateContent>
  <xr:revisionPtr revIDLastSave="0" documentId="13_ncr:1_{29F65000-847C-46BD-9BC5-2C140717AC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Especificaciones" sheetId="1" r:id="rId1"/>
    <sheet name="2. Req. Funcionales" sheetId="2" r:id="rId2"/>
    <sheet name="3. Req. No Funcionales" sheetId="3" r:id="rId3"/>
    <sheet name="4. Restricciones" sheetId="4" r:id="rId4"/>
    <sheet name="5. Lista de Componen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5" i="1"/>
  <c r="E6" i="1"/>
  <c r="E7" i="1"/>
  <c r="E4" i="1"/>
  <c r="E9" i="1" s="1"/>
</calcChain>
</file>

<file path=xl/sharedStrings.xml><?xml version="1.0" encoding="utf-8"?>
<sst xmlns="http://schemas.openxmlformats.org/spreadsheetml/2006/main" count="180" uniqueCount="170">
  <si>
    <t>Salida</t>
  </si>
  <si>
    <t>Tensión (V)</t>
  </si>
  <si>
    <t>Corriente Máxima (A)</t>
  </si>
  <si>
    <t>+12V</t>
  </si>
  <si>
    <t>+5V</t>
  </si>
  <si>
    <t>+3.3V</t>
  </si>
  <si>
    <t>-12V</t>
  </si>
  <si>
    <t>Variable (1.25-15V)</t>
  </si>
  <si>
    <t>1.25 - 15</t>
  </si>
  <si>
    <t>Potencia Total (W)</t>
  </si>
  <si>
    <t>Descripción Técnica</t>
  </si>
  <si>
    <t>Cantidad</t>
  </si>
  <si>
    <t>Potencia (W)</t>
  </si>
  <si>
    <t>ID Salida</t>
  </si>
  <si>
    <t>OUT_01</t>
  </si>
  <si>
    <t>OUT_02</t>
  </si>
  <si>
    <t>OUT_03</t>
  </si>
  <si>
    <t>OUT_04</t>
  </si>
  <si>
    <t>OUT_05</t>
  </si>
  <si>
    <t>Tipo de Salida</t>
  </si>
  <si>
    <t>Topología / Convertidor</t>
  </si>
  <si>
    <t xml:space="preserve">Convertidor Buck DC/DC (Step-Down)   </t>
  </si>
  <si>
    <t>Regulador Inversor / Buck-Boost Negativo</t>
  </si>
  <si>
    <t>Convertidor Buck Ajustable con Potenciómetro</t>
  </si>
  <si>
    <t>Salida Fija Alta Corriente</t>
  </si>
  <si>
    <t>Salida Fija Lógica / Potencia</t>
  </si>
  <si>
    <t>Salida Fija Lógica Digital</t>
  </si>
  <si>
    <t>Salida Negativa Fija (OpAmps)</t>
  </si>
  <si>
    <t>Salida Variable Regulable</t>
  </si>
  <si>
    <t>ID Req.</t>
  </si>
  <si>
    <t>Módulo / Función</t>
  </si>
  <si>
    <t>Requerimiento Técnico</t>
  </si>
  <si>
    <t>Descripción Detallada / Justificación</t>
  </si>
  <si>
    <t>RF-01</t>
  </si>
  <si>
    <t>RF-02</t>
  </si>
  <si>
    <t>RF-03</t>
  </si>
  <si>
    <t>RF-04</t>
  </si>
  <si>
    <t>RF-05</t>
  </si>
  <si>
    <t>Transformador AC</t>
  </si>
  <si>
    <t>Rectificación y Filtrado</t>
  </si>
  <si>
    <t>Regulación DC/DC (+12V)</t>
  </si>
  <si>
    <t>Regulación DC/DC (+5V)</t>
  </si>
  <si>
    <t>RF-06</t>
  </si>
  <si>
    <t>RF-07</t>
  </si>
  <si>
    <t>RF-08</t>
  </si>
  <si>
    <t>Regulación DC/DC (+3.3V)</t>
  </si>
  <si>
    <t>Regulación DC/DC (-12V)</t>
  </si>
  <si>
    <t>Regulación Variable</t>
  </si>
  <si>
    <t>Bus DC Principal</t>
  </si>
  <si>
    <t xml:space="preserve">Convertir AC a DC con bajo rizado &gt; 2,5 V  </t>
  </si>
  <si>
    <t>Suministrar +12 V DC @ 5A continuos</t>
  </si>
  <si>
    <t>Suministrar +5 V DC @ 5 A continuos para sensores/módulos</t>
  </si>
  <si>
    <t>Bus distribuido de alimentación</t>
  </si>
  <si>
    <t>Reducir la tensión de red (110V AC) a una tensión segura para rectificación</t>
  </si>
  <si>
    <t>Distribuir la energía desde el filtro principal a cada módulo convertidor</t>
  </si>
  <si>
    <t>Permitir el ajuste manual continuo con potenciómetro en panel frontal</t>
  </si>
  <si>
    <t>Generar el riel negativo de -12 VDC para etapas analógicas</t>
  </si>
  <si>
    <t>Suministrar +3.3 VDC limpios para circuitería lógica/microcontroladores</t>
  </si>
  <si>
    <t>Regular de forma eficiente la línea de potencia de +5 VDC</t>
  </si>
  <si>
    <t>Convertir la tensión del bus DC a +12 VDC continuos</t>
  </si>
  <si>
    <t>Convertir CA a CC con un rizado inferior al 10% de la tensión de pico</t>
  </si>
  <si>
    <t>Suministrar +3.3 V DC @ 3 A para microcontroladores y lógica</t>
  </si>
  <si>
    <t>Suministrar -12 V DC @ 1 A para amplificadores operacionales</t>
  </si>
  <si>
    <t>Ajustar salida linealmente entre +1.25 V y +15 V DC @ 3 A</t>
  </si>
  <si>
    <t>RNF-01</t>
  </si>
  <si>
    <t>RNF-02</t>
  </si>
  <si>
    <t>RNF-03</t>
  </si>
  <si>
    <t>RNF-04</t>
  </si>
  <si>
    <t>Categoría</t>
  </si>
  <si>
    <t>Elemento / Requerimiento</t>
  </si>
  <si>
    <t>Descripción Técnica y Especificación</t>
  </si>
  <si>
    <t>Impacto en Usabilidad / Estética</t>
  </si>
  <si>
    <t>Medición Visual</t>
  </si>
  <si>
    <t>Indicación de Estado</t>
  </si>
  <si>
    <t>Interfaz de Conexión</t>
  </si>
  <si>
    <t>Control Ergonómico</t>
  </si>
  <si>
    <t>Seguridad Eléctrica</t>
  </si>
  <si>
    <t>Borneras tipo Banana / Binding Post</t>
  </si>
  <si>
    <t>Potenciómetro multigiro con perilla</t>
  </si>
  <si>
    <t>Desconexión física total de la red eléctrica</t>
  </si>
  <si>
    <t>Ajuste fino y cómodo de la tensión variable</t>
  </si>
  <si>
    <t>Conexión rápida, segura y aislada para puntas de prueba estándar</t>
  </si>
  <si>
    <t>Lectura clara e inmediata de parámetros en la salida ajustable</t>
  </si>
  <si>
    <t>Borneras de seguridad de 4mm (Rojo: Positivo, Negro: GND, Azul: -12V, Amarillo: Variable)</t>
  </si>
  <si>
    <t>Potenciómetro de precisión multigiro de $10\text{ k}\Omega$ con perilla de aluminio</t>
  </si>
  <si>
    <t>Voltímetro Digital</t>
  </si>
  <si>
    <t>LEDs indicadores de encendio y apagado</t>
  </si>
  <si>
    <t>LED verde individual de 5mm o SMD 0805</t>
  </si>
  <si>
    <t>Diagnóstico visual rápido del funcionamiento de la fuente</t>
  </si>
  <si>
    <t>Switch basculante ON/OFF en la entrada de AC</t>
  </si>
  <si>
    <t xml:space="preserve">Interruptor general </t>
  </si>
  <si>
    <t>Requisitos funcionales</t>
  </si>
  <si>
    <t>Requisitos no funcionales</t>
  </si>
  <si>
    <t>Especificaciones del proyecto</t>
  </si>
  <si>
    <t>Restricciones del proyecto</t>
  </si>
  <si>
    <t>ID Rest</t>
  </si>
  <si>
    <t>RD-01</t>
  </si>
  <si>
    <t>RD-02</t>
  </si>
  <si>
    <t>RD-03</t>
  </si>
  <si>
    <t>RD-04</t>
  </si>
  <si>
    <t>RD-05</t>
  </si>
  <si>
    <t>Ubicación / Etapa</t>
  </si>
  <si>
    <t>Bloque / Riel</t>
  </si>
  <si>
    <t xml:space="preserve">Corriente Máx. Nominal </t>
  </si>
  <si>
    <t>Justificación Técnica / Seguridad</t>
  </si>
  <si>
    <t>En PCB (Entrada AC)</t>
  </si>
  <si>
    <t>En PCB (Línea AC/DC)</t>
  </si>
  <si>
    <t>En PCB (Bus DC)</t>
  </si>
  <si>
    <t>En PCB (Salida DC)</t>
  </si>
  <si>
    <t>En PCB (Masa / Retorno)</t>
  </si>
  <si>
    <t>RD-06</t>
  </si>
  <si>
    <t>RD-07</t>
  </si>
  <si>
    <t>RD-08</t>
  </si>
  <si>
    <t>RD-09</t>
  </si>
  <si>
    <t>Riel +12.0 VDC</t>
  </si>
  <si>
    <t>Riel +5.0 VDC</t>
  </si>
  <si>
    <t>Riel +3.3 VDC</t>
  </si>
  <si>
    <t>Riel -12.0 VDC</t>
  </si>
  <si>
    <t>Riel Variable (1.25V–15V DC)</t>
  </si>
  <si>
    <t>Plano General GND</t>
  </si>
  <si>
    <t>5 A dc</t>
  </si>
  <si>
    <t>3 A dc</t>
  </si>
  <si>
    <t>1 A dc</t>
  </si>
  <si>
    <t xml:space="preserve">17 A dc(Suma simultánea) </t>
  </si>
  <si>
    <t>3 A ajustables</t>
  </si>
  <si>
    <t xml:space="preserve">Punto de acople mecánico seguro para recibir los cables del transformador </t>
  </si>
  <si>
    <t>Soportar la corriente AC pulsante de entrada al puente rectificador</t>
  </si>
  <si>
    <t>Soportar corrientes de carga de capacitores y distribuir energía a los 5 conversores</t>
  </si>
  <si>
    <t>Suministro de alta potencia (60 W) con corte automático ante cortocircuito</t>
  </si>
  <si>
    <t>Protección de la línea lógica/USB contra sobrecorrientes en borneras externas</t>
  </si>
  <si>
    <t>Evitar sobrecalentamiento y protecciones para lógica de microcontroladores</t>
  </si>
  <si>
    <t>Minimizar caídas de tensión (I * R), ruido de conmutación y la impedancia de retorno</t>
  </si>
  <si>
    <t>Permitir pruebas de laboratorio ajustables con limitación activa de corriente</t>
  </si>
  <si>
    <t>Protección de riel negativo simétrico para circuitos integrados analógicos</t>
  </si>
  <si>
    <t>Lista de componentes</t>
  </si>
  <si>
    <t>Item</t>
  </si>
  <si>
    <t>Design Item ID (Norma IPC)</t>
  </si>
  <si>
    <t>Puente Rectificador 25 - 35 A</t>
  </si>
  <si>
    <t>IC regulador inversor de voltaje negativo</t>
  </si>
  <si>
    <t>Inductor de potencia 47uH/10 A</t>
  </si>
  <si>
    <t>Modulo medidor digital - voltimetro</t>
  </si>
  <si>
    <t>Borneras de seguridad de 4mm</t>
  </si>
  <si>
    <t>Fusible 5A/ 250V</t>
  </si>
  <si>
    <t>Fusibles reseteables PTC de proteccion por canal</t>
  </si>
  <si>
    <t>Diodo schottky 50V / 5A</t>
  </si>
  <si>
    <t>Potenciometro de 15 Kohmios</t>
  </si>
  <si>
    <t>Capacitores ceramicos de desacople de 0,1 uF/50V</t>
  </si>
  <si>
    <t>TXF_250VA_18V</t>
  </si>
  <si>
    <t>BR_1000V_25A</t>
  </si>
  <si>
    <t>IC_INV_MC34063</t>
  </si>
  <si>
    <t>L_47uH_10A_Shielded</t>
  </si>
  <si>
    <t>D_SS54_SMC</t>
  </si>
  <si>
    <t>Pot_10k_Multiturn</t>
  </si>
  <si>
    <t>Mod_Volt_LED</t>
  </si>
  <si>
    <t>Con_Banana_4mm_10A</t>
  </si>
  <si>
    <t>F_5A_250V_Glass</t>
  </si>
  <si>
    <t>F_PTC_5A_30V</t>
  </si>
  <si>
    <t>Cap_0.1uF_0805_50V</t>
  </si>
  <si>
    <t>Pantalla LED/LCD  para lectura en tiempo real de la salida variable (resolución 0.1V )</t>
  </si>
  <si>
    <t>Entrada AC (bornera)</t>
  </si>
  <si>
    <t xml:space="preserve">Pistas AC entrada </t>
  </si>
  <si>
    <t xml:space="preserve">Bus DC Principal </t>
  </si>
  <si>
    <t>8,3 A (rms)</t>
  </si>
  <si>
    <t>5,5 A dc</t>
  </si>
  <si>
    <t>Transformador AC 110V -24 V 300VA</t>
  </si>
  <si>
    <t>Mod_DCDC_XL4015_ADJ_5A</t>
  </si>
  <si>
    <t xml:space="preserve"> Buck XL4015 módulo Convertidor DC-DC Step-Down Ajustable 5A 180 kHz </t>
  </si>
  <si>
    <t xml:space="preserve">LM2678 convertidor DC-DC Buck Step-Down 5A 260 kHz Alta Eficiencia </t>
  </si>
  <si>
    <t>Mod_DCDC_LM2678_5A</t>
  </si>
  <si>
    <t>110 -24V AC &gt; 300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</si>
</sst>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Normal="100" workbookViewId="0">
      <selection activeCell="C13" sqref="C13"/>
    </sheetView>
  </sheetViews>
  <sheetFormatPr defaultRowHeight="14.4" x14ac:dyDescent="0.3"/>
  <cols>
    <col min="1" max="1" width="15.109375" customWidth="1"/>
    <col min="2" max="2" width="17" customWidth="1"/>
    <col min="3" max="3" width="13.77734375" customWidth="1"/>
    <col min="4" max="4" width="19.44140625" customWidth="1"/>
    <col min="5" max="5" width="16.21875" customWidth="1"/>
    <col min="6" max="6" width="20.77734375" customWidth="1"/>
    <col min="7" max="7" width="21.44140625" customWidth="1"/>
    <col min="8" max="8" width="0" hidden="1" customWidth="1"/>
  </cols>
  <sheetData>
    <row r="1" spans="1:8" ht="18" customHeight="1" x14ac:dyDescent="0.3">
      <c r="A1" s="9" t="s">
        <v>93</v>
      </c>
      <c r="B1" s="9"/>
      <c r="C1" s="9"/>
      <c r="D1" s="9"/>
      <c r="E1" s="9"/>
      <c r="F1" s="9"/>
      <c r="G1" s="9"/>
    </row>
    <row r="2" spans="1:8" ht="14.4" customHeight="1" x14ac:dyDescent="0.3">
      <c r="A2" s="9"/>
      <c r="B2" s="9"/>
      <c r="C2" s="9"/>
      <c r="D2" s="9"/>
      <c r="E2" s="9"/>
      <c r="F2" s="9"/>
      <c r="G2" s="9"/>
    </row>
    <row r="3" spans="1:8" x14ac:dyDescent="0.3">
      <c r="A3" s="1" t="s">
        <v>13</v>
      </c>
      <c r="B3" s="1" t="s">
        <v>0</v>
      </c>
      <c r="C3" s="1" t="s">
        <v>1</v>
      </c>
      <c r="D3" s="1" t="s">
        <v>2</v>
      </c>
      <c r="E3" s="1" t="s">
        <v>12</v>
      </c>
      <c r="F3" s="1" t="s">
        <v>19</v>
      </c>
      <c r="G3" s="1" t="s">
        <v>20</v>
      </c>
    </row>
    <row r="4" spans="1:8" ht="28.05" customHeight="1" x14ac:dyDescent="0.3">
      <c r="A4" s="2" t="s">
        <v>14</v>
      </c>
      <c r="B4" s="2" t="s">
        <v>3</v>
      </c>
      <c r="C4" s="2">
        <v>12</v>
      </c>
      <c r="D4" s="2">
        <v>5</v>
      </c>
      <c r="E4" s="2">
        <f>C4*D4</f>
        <v>60</v>
      </c>
      <c r="F4" s="7" t="s">
        <v>24</v>
      </c>
      <c r="G4" s="7" t="s">
        <v>21</v>
      </c>
      <c r="H4" s="4">
        <v>15</v>
      </c>
    </row>
    <row r="5" spans="1:8" ht="28.05" customHeight="1" x14ac:dyDescent="0.3">
      <c r="A5" s="2" t="s">
        <v>15</v>
      </c>
      <c r="B5" s="2" t="s">
        <v>4</v>
      </c>
      <c r="C5" s="2">
        <v>5</v>
      </c>
      <c r="D5" s="2">
        <v>5</v>
      </c>
      <c r="E5" s="2">
        <f>C5*D5</f>
        <v>25</v>
      </c>
      <c r="F5" s="7" t="s">
        <v>25</v>
      </c>
      <c r="G5" s="7" t="s">
        <v>21</v>
      </c>
      <c r="H5" s="4"/>
    </row>
    <row r="6" spans="1:8" ht="28.05" customHeight="1" x14ac:dyDescent="0.3">
      <c r="A6" s="2" t="s">
        <v>16</v>
      </c>
      <c r="B6" s="2" t="s">
        <v>5</v>
      </c>
      <c r="C6" s="2">
        <v>3.3</v>
      </c>
      <c r="D6" s="2">
        <v>3</v>
      </c>
      <c r="E6" s="2">
        <f>C6*D6</f>
        <v>9.8999999999999986</v>
      </c>
      <c r="F6" s="7" t="s">
        <v>26</v>
      </c>
      <c r="G6" s="7" t="s">
        <v>21</v>
      </c>
      <c r="H6" s="4"/>
    </row>
    <row r="7" spans="1:8" ht="28.05" customHeight="1" x14ac:dyDescent="0.3">
      <c r="A7" s="2" t="s">
        <v>17</v>
      </c>
      <c r="B7" s="2" t="s">
        <v>6</v>
      </c>
      <c r="C7" s="2">
        <v>12</v>
      </c>
      <c r="D7" s="2">
        <v>1</v>
      </c>
      <c r="E7" s="2">
        <f>C7*D7</f>
        <v>12</v>
      </c>
      <c r="F7" s="7" t="s">
        <v>27</v>
      </c>
      <c r="G7" s="7" t="s">
        <v>22</v>
      </c>
      <c r="H7" s="4"/>
    </row>
    <row r="8" spans="1:8" ht="28.05" customHeight="1" x14ac:dyDescent="0.3">
      <c r="A8" s="2" t="s">
        <v>18</v>
      </c>
      <c r="B8" s="2" t="s">
        <v>7</v>
      </c>
      <c r="C8" s="2" t="s">
        <v>8</v>
      </c>
      <c r="D8" s="2">
        <v>3</v>
      </c>
      <c r="E8" s="2">
        <f>H4*D8</f>
        <v>45</v>
      </c>
      <c r="F8" s="7" t="s">
        <v>28</v>
      </c>
      <c r="G8" s="7" t="s">
        <v>23</v>
      </c>
      <c r="H8" s="4"/>
    </row>
    <row r="9" spans="1:8" x14ac:dyDescent="0.3">
      <c r="B9" s="6"/>
      <c r="C9" s="4"/>
      <c r="D9" s="5" t="s">
        <v>9</v>
      </c>
      <c r="E9" s="3">
        <f>SUM(E4:E8)</f>
        <v>151.9</v>
      </c>
    </row>
  </sheetData>
  <mergeCells count="1">
    <mergeCell ref="A1:G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Normal="100" workbookViewId="0">
      <selection activeCell="C13" sqref="C13"/>
    </sheetView>
  </sheetViews>
  <sheetFormatPr defaultRowHeight="14.4" x14ac:dyDescent="0.3"/>
  <cols>
    <col min="1" max="1" width="20.44140625" customWidth="1"/>
    <col min="2" max="2" width="27.21875" customWidth="1"/>
    <col min="3" max="3" width="36.21875" customWidth="1"/>
    <col min="4" max="4" width="34" customWidth="1"/>
    <col min="5" max="5" width="28.88671875" customWidth="1"/>
  </cols>
  <sheetData>
    <row r="1" spans="1:4" x14ac:dyDescent="0.3">
      <c r="A1" s="9" t="s">
        <v>91</v>
      </c>
      <c r="B1" s="9"/>
      <c r="C1" s="9"/>
      <c r="D1" s="9"/>
    </row>
    <row r="2" spans="1:4" x14ac:dyDescent="0.3">
      <c r="A2" s="9"/>
      <c r="B2" s="9"/>
      <c r="C2" s="9"/>
      <c r="D2" s="9"/>
    </row>
    <row r="3" spans="1:4" ht="28.05" customHeight="1" x14ac:dyDescent="0.3">
      <c r="A3" s="8" t="s">
        <v>29</v>
      </c>
      <c r="B3" s="8" t="s">
        <v>30</v>
      </c>
      <c r="C3" s="8" t="s">
        <v>31</v>
      </c>
      <c r="D3" s="8" t="s">
        <v>32</v>
      </c>
    </row>
    <row r="4" spans="1:4" ht="31.95" customHeight="1" x14ac:dyDescent="0.3">
      <c r="A4" s="2" t="s">
        <v>33</v>
      </c>
      <c r="B4" s="2" t="s">
        <v>38</v>
      </c>
      <c r="C4" s="7" t="s">
        <v>169</v>
      </c>
      <c r="D4" s="7" t="s">
        <v>53</v>
      </c>
    </row>
    <row r="5" spans="1:4" ht="31.95" customHeight="1" x14ac:dyDescent="0.3">
      <c r="A5" s="2" t="s">
        <v>34</v>
      </c>
      <c r="B5" s="2" t="s">
        <v>39</v>
      </c>
      <c r="C5" s="7" t="s">
        <v>49</v>
      </c>
      <c r="D5" s="7" t="s">
        <v>60</v>
      </c>
    </row>
    <row r="6" spans="1:4" ht="31.95" customHeight="1" x14ac:dyDescent="0.3">
      <c r="A6" s="2" t="s">
        <v>35</v>
      </c>
      <c r="B6" s="2" t="s">
        <v>40</v>
      </c>
      <c r="C6" s="7" t="s">
        <v>50</v>
      </c>
      <c r="D6" s="7" t="s">
        <v>59</v>
      </c>
    </row>
    <row r="7" spans="1:4" ht="31.95" customHeight="1" x14ac:dyDescent="0.3">
      <c r="A7" s="2" t="s">
        <v>36</v>
      </c>
      <c r="B7" s="2" t="s">
        <v>41</v>
      </c>
      <c r="C7" s="7" t="s">
        <v>51</v>
      </c>
      <c r="D7" s="7" t="s">
        <v>58</v>
      </c>
    </row>
    <row r="8" spans="1:4" ht="31.95" customHeight="1" x14ac:dyDescent="0.3">
      <c r="A8" s="2" t="s">
        <v>37</v>
      </c>
      <c r="B8" s="2" t="s">
        <v>45</v>
      </c>
      <c r="C8" s="7" t="s">
        <v>61</v>
      </c>
      <c r="D8" s="7" t="s">
        <v>57</v>
      </c>
    </row>
    <row r="9" spans="1:4" ht="31.95" customHeight="1" x14ac:dyDescent="0.3">
      <c r="A9" s="2" t="s">
        <v>42</v>
      </c>
      <c r="B9" s="2" t="s">
        <v>46</v>
      </c>
      <c r="C9" s="7" t="s">
        <v>62</v>
      </c>
      <c r="D9" s="7" t="s">
        <v>56</v>
      </c>
    </row>
    <row r="10" spans="1:4" ht="31.95" customHeight="1" x14ac:dyDescent="0.3">
      <c r="A10" s="2" t="s">
        <v>43</v>
      </c>
      <c r="B10" s="2" t="s">
        <v>47</v>
      </c>
      <c r="C10" s="7" t="s">
        <v>63</v>
      </c>
      <c r="D10" s="7" t="s">
        <v>55</v>
      </c>
    </row>
    <row r="11" spans="1:4" ht="31.95" customHeight="1" x14ac:dyDescent="0.3">
      <c r="A11" s="2" t="s">
        <v>44</v>
      </c>
      <c r="B11" s="2" t="s">
        <v>48</v>
      </c>
      <c r="C11" s="2" t="s">
        <v>52</v>
      </c>
      <c r="D11" s="7" t="s">
        <v>54</v>
      </c>
    </row>
    <row r="13" spans="1:4" x14ac:dyDescent="0.3">
      <c r="B13" s="4"/>
    </row>
    <row r="14" spans="1:4" x14ac:dyDescent="0.3">
      <c r="B14" s="4"/>
    </row>
  </sheetData>
  <mergeCells count="1">
    <mergeCell ref="A1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Normal="100" workbookViewId="0">
      <selection activeCell="C14" sqref="C14"/>
    </sheetView>
  </sheetViews>
  <sheetFormatPr defaultRowHeight="14.4" x14ac:dyDescent="0.3"/>
  <cols>
    <col min="1" max="1" width="14.77734375" customWidth="1"/>
    <col min="2" max="2" width="30.109375" customWidth="1"/>
    <col min="3" max="3" width="35" customWidth="1"/>
    <col min="4" max="4" width="43.88671875" customWidth="1"/>
    <col min="5" max="5" width="33.6640625" customWidth="1"/>
  </cols>
  <sheetData>
    <row r="1" spans="1:5" ht="14.4" customHeight="1" x14ac:dyDescent="0.3">
      <c r="A1" s="9" t="s">
        <v>92</v>
      </c>
      <c r="B1" s="9"/>
      <c r="C1" s="9"/>
      <c r="D1" s="9"/>
      <c r="E1" s="9"/>
    </row>
    <row r="2" spans="1:5" ht="14.4" customHeight="1" x14ac:dyDescent="0.3">
      <c r="A2" s="9"/>
      <c r="B2" s="9"/>
      <c r="C2" s="9"/>
      <c r="D2" s="9"/>
      <c r="E2" s="9"/>
    </row>
    <row r="3" spans="1:5" ht="31.95" customHeight="1" x14ac:dyDescent="0.3">
      <c r="A3" s="8" t="s">
        <v>29</v>
      </c>
      <c r="B3" s="8" t="s">
        <v>68</v>
      </c>
      <c r="C3" s="8" t="s">
        <v>69</v>
      </c>
      <c r="D3" s="8" t="s">
        <v>70</v>
      </c>
      <c r="E3" s="8" t="s">
        <v>71</v>
      </c>
    </row>
    <row r="4" spans="1:5" ht="31.95" customHeight="1" x14ac:dyDescent="0.3">
      <c r="A4" s="7" t="s">
        <v>64</v>
      </c>
      <c r="B4" s="7" t="s">
        <v>72</v>
      </c>
      <c r="C4" s="7" t="s">
        <v>85</v>
      </c>
      <c r="D4" s="7" t="s">
        <v>158</v>
      </c>
      <c r="E4" s="7" t="s">
        <v>82</v>
      </c>
    </row>
    <row r="5" spans="1:5" ht="31.95" customHeight="1" x14ac:dyDescent="0.3">
      <c r="A5" s="7" t="s">
        <v>65</v>
      </c>
      <c r="B5" s="7" t="s">
        <v>73</v>
      </c>
      <c r="C5" s="7" t="s">
        <v>86</v>
      </c>
      <c r="D5" s="7" t="s">
        <v>87</v>
      </c>
      <c r="E5" s="7" t="s">
        <v>88</v>
      </c>
    </row>
    <row r="6" spans="1:5" ht="31.95" customHeight="1" x14ac:dyDescent="0.3">
      <c r="A6" s="7" t="s">
        <v>66</v>
      </c>
      <c r="B6" s="7" t="s">
        <v>74</v>
      </c>
      <c r="C6" s="7" t="s">
        <v>77</v>
      </c>
      <c r="D6" s="7" t="s">
        <v>83</v>
      </c>
      <c r="E6" s="7" t="s">
        <v>81</v>
      </c>
    </row>
    <row r="7" spans="1:5" ht="31.95" hidden="1" customHeight="1" x14ac:dyDescent="0.3">
      <c r="A7" s="7" t="s">
        <v>67</v>
      </c>
      <c r="B7" s="7" t="s">
        <v>75</v>
      </c>
      <c r="C7" s="7" t="s">
        <v>78</v>
      </c>
      <c r="D7" s="7" t="s">
        <v>84</v>
      </c>
      <c r="E7" s="7" t="s">
        <v>80</v>
      </c>
    </row>
    <row r="8" spans="1:5" ht="31.95" customHeight="1" x14ac:dyDescent="0.3">
      <c r="A8" s="7" t="s">
        <v>67</v>
      </c>
      <c r="B8" s="7" t="s">
        <v>76</v>
      </c>
      <c r="C8" s="7" t="s">
        <v>90</v>
      </c>
      <c r="D8" s="7" t="s">
        <v>89</v>
      </c>
      <c r="E8" s="7" t="s">
        <v>79</v>
      </c>
    </row>
  </sheetData>
  <mergeCells count="1">
    <mergeCell ref="A1:E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zoomScale="85" zoomScaleNormal="85" workbookViewId="0">
      <selection activeCell="F9" sqref="F9"/>
    </sheetView>
  </sheetViews>
  <sheetFormatPr defaultRowHeight="14.4" x14ac:dyDescent="0.3"/>
  <cols>
    <col min="1" max="1" width="14.44140625" customWidth="1"/>
    <col min="2" max="2" width="22.33203125" customWidth="1"/>
    <col min="3" max="3" width="31.44140625" customWidth="1"/>
    <col min="4" max="4" width="23.33203125" customWidth="1"/>
    <col min="5" max="5" width="42.33203125" customWidth="1"/>
  </cols>
  <sheetData>
    <row r="1" spans="1:5" ht="14.4" customHeight="1" x14ac:dyDescent="0.3">
      <c r="A1" s="9" t="s">
        <v>94</v>
      </c>
      <c r="B1" s="9"/>
      <c r="C1" s="9"/>
      <c r="D1" s="9"/>
      <c r="E1" s="9"/>
    </row>
    <row r="2" spans="1:5" ht="14.4" customHeight="1" x14ac:dyDescent="0.3">
      <c r="A2" s="9"/>
      <c r="B2" s="9"/>
      <c r="C2" s="9"/>
      <c r="D2" s="9"/>
      <c r="E2" s="9"/>
    </row>
    <row r="3" spans="1:5" ht="31.95" customHeight="1" x14ac:dyDescent="0.3">
      <c r="A3" s="8" t="s">
        <v>95</v>
      </c>
      <c r="B3" s="8" t="s">
        <v>101</v>
      </c>
      <c r="C3" s="8" t="s">
        <v>102</v>
      </c>
      <c r="D3" s="8" t="s">
        <v>103</v>
      </c>
      <c r="E3" s="8" t="s">
        <v>104</v>
      </c>
    </row>
    <row r="4" spans="1:5" ht="31.95" customHeight="1" x14ac:dyDescent="0.3">
      <c r="A4" s="7" t="s">
        <v>96</v>
      </c>
      <c r="B4" s="7" t="s">
        <v>105</v>
      </c>
      <c r="C4" s="7" t="s">
        <v>159</v>
      </c>
      <c r="D4" s="7" t="s">
        <v>162</v>
      </c>
      <c r="E4" s="7" t="s">
        <v>125</v>
      </c>
    </row>
    <row r="5" spans="1:5" ht="31.95" customHeight="1" x14ac:dyDescent="0.3">
      <c r="A5" s="7" t="s">
        <v>97</v>
      </c>
      <c r="B5" s="7" t="s">
        <v>106</v>
      </c>
      <c r="C5" s="7" t="s">
        <v>160</v>
      </c>
      <c r="D5" s="7" t="s">
        <v>162</v>
      </c>
      <c r="E5" s="7" t="s">
        <v>126</v>
      </c>
    </row>
    <row r="6" spans="1:5" ht="31.95" customHeight="1" x14ac:dyDescent="0.3">
      <c r="A6" s="7" t="s">
        <v>98</v>
      </c>
      <c r="B6" s="7" t="s">
        <v>107</v>
      </c>
      <c r="C6" s="7" t="s">
        <v>161</v>
      </c>
      <c r="D6" s="7" t="s">
        <v>163</v>
      </c>
      <c r="E6" s="7" t="s">
        <v>127</v>
      </c>
    </row>
    <row r="7" spans="1:5" ht="31.95" customHeight="1" x14ac:dyDescent="0.3">
      <c r="A7" s="7" t="s">
        <v>99</v>
      </c>
      <c r="B7" s="7" t="s">
        <v>108</v>
      </c>
      <c r="C7" s="7" t="s">
        <v>114</v>
      </c>
      <c r="D7" s="7" t="s">
        <v>120</v>
      </c>
      <c r="E7" s="7" t="s">
        <v>128</v>
      </c>
    </row>
    <row r="8" spans="1:5" ht="31.95" customHeight="1" x14ac:dyDescent="0.3">
      <c r="A8" s="7" t="s">
        <v>100</v>
      </c>
      <c r="B8" s="7" t="s">
        <v>108</v>
      </c>
      <c r="C8" s="7" t="s">
        <v>115</v>
      </c>
      <c r="D8" s="7" t="s">
        <v>120</v>
      </c>
      <c r="E8" s="7" t="s">
        <v>129</v>
      </c>
    </row>
    <row r="9" spans="1:5" ht="31.95" customHeight="1" x14ac:dyDescent="0.3">
      <c r="A9" s="7" t="s">
        <v>110</v>
      </c>
      <c r="B9" s="7" t="s">
        <v>108</v>
      </c>
      <c r="C9" s="2" t="s">
        <v>116</v>
      </c>
      <c r="D9" s="2" t="s">
        <v>121</v>
      </c>
      <c r="E9" s="7" t="s">
        <v>130</v>
      </c>
    </row>
    <row r="10" spans="1:5" ht="31.95" customHeight="1" x14ac:dyDescent="0.3">
      <c r="A10" s="7" t="s">
        <v>111</v>
      </c>
      <c r="B10" s="7" t="s">
        <v>108</v>
      </c>
      <c r="C10" s="2" t="s">
        <v>117</v>
      </c>
      <c r="D10" s="2" t="s">
        <v>122</v>
      </c>
      <c r="E10" s="7" t="s">
        <v>133</v>
      </c>
    </row>
    <row r="11" spans="1:5" ht="31.95" customHeight="1" x14ac:dyDescent="0.3">
      <c r="A11" s="7" t="s">
        <v>112</v>
      </c>
      <c r="B11" s="7" t="s">
        <v>108</v>
      </c>
      <c r="C11" s="2" t="s">
        <v>118</v>
      </c>
      <c r="D11" s="2" t="s">
        <v>124</v>
      </c>
      <c r="E11" s="7" t="s">
        <v>132</v>
      </c>
    </row>
    <row r="12" spans="1:5" ht="31.95" customHeight="1" x14ac:dyDescent="0.3">
      <c r="A12" s="7" t="s">
        <v>113</v>
      </c>
      <c r="B12" s="7" t="s">
        <v>109</v>
      </c>
      <c r="C12" s="2" t="s">
        <v>119</v>
      </c>
      <c r="D12" s="2" t="s">
        <v>123</v>
      </c>
      <c r="E12" s="7" t="s">
        <v>131</v>
      </c>
    </row>
  </sheetData>
  <mergeCells count="1">
    <mergeCell ref="A1:E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zoomScaleNormal="100" workbookViewId="0">
      <selection activeCell="G9" sqref="G9"/>
    </sheetView>
  </sheetViews>
  <sheetFormatPr defaultRowHeight="14.4" x14ac:dyDescent="0.3"/>
  <cols>
    <col min="1" max="1" width="15.33203125" customWidth="1"/>
    <col min="2" max="2" width="37.6640625" customWidth="1"/>
    <col min="3" max="3" width="14.77734375" customWidth="1"/>
    <col min="4" max="4" width="49" customWidth="1"/>
  </cols>
  <sheetData>
    <row r="1" spans="1:4" ht="7.95" customHeight="1" x14ac:dyDescent="0.3">
      <c r="A1" s="9" t="s">
        <v>134</v>
      </c>
      <c r="B1" s="9"/>
      <c r="C1" s="9"/>
      <c r="D1" s="9"/>
    </row>
    <row r="2" spans="1:4" ht="7.95" customHeight="1" x14ac:dyDescent="0.3">
      <c r="A2" s="9"/>
      <c r="B2" s="9"/>
      <c r="C2" s="9"/>
      <c r="D2" s="9"/>
    </row>
    <row r="3" spans="1:4" ht="25.05" customHeight="1" x14ac:dyDescent="0.3">
      <c r="A3" s="8" t="s">
        <v>135</v>
      </c>
      <c r="B3" s="8" t="s">
        <v>10</v>
      </c>
      <c r="C3" s="8" t="s">
        <v>11</v>
      </c>
      <c r="D3" s="8" t="s">
        <v>136</v>
      </c>
    </row>
    <row r="4" spans="1:4" ht="25.05" customHeight="1" x14ac:dyDescent="0.3">
      <c r="A4" s="7">
        <v>1</v>
      </c>
      <c r="B4" s="7" t="s">
        <v>164</v>
      </c>
      <c r="C4" s="7">
        <v>1</v>
      </c>
      <c r="D4" s="7" t="s">
        <v>147</v>
      </c>
    </row>
    <row r="5" spans="1:4" ht="25.05" customHeight="1" x14ac:dyDescent="0.3">
      <c r="A5" s="7">
        <v>2</v>
      </c>
      <c r="B5" s="7" t="s">
        <v>137</v>
      </c>
      <c r="C5" s="7">
        <v>1</v>
      </c>
      <c r="D5" s="7" t="s">
        <v>148</v>
      </c>
    </row>
    <row r="6" spans="1:4" ht="29.4" customHeight="1" x14ac:dyDescent="0.3">
      <c r="A6" s="7">
        <v>4</v>
      </c>
      <c r="B6" s="7" t="s">
        <v>166</v>
      </c>
      <c r="C6" s="7">
        <v>2</v>
      </c>
      <c r="D6" s="7" t="s">
        <v>165</v>
      </c>
    </row>
    <row r="7" spans="1:4" ht="36" customHeight="1" x14ac:dyDescent="0.3">
      <c r="A7" s="7">
        <v>5</v>
      </c>
      <c r="B7" s="7" t="s">
        <v>167</v>
      </c>
      <c r="C7" s="7">
        <v>2</v>
      </c>
      <c r="D7" s="7" t="s">
        <v>168</v>
      </c>
    </row>
    <row r="8" spans="1:4" ht="25.05" customHeight="1" x14ac:dyDescent="0.3">
      <c r="A8" s="7">
        <v>6</v>
      </c>
      <c r="B8" s="7" t="s">
        <v>138</v>
      </c>
      <c r="C8" s="2">
        <v>1</v>
      </c>
      <c r="D8" s="2" t="s">
        <v>149</v>
      </c>
    </row>
    <row r="9" spans="1:4" ht="25.05" customHeight="1" x14ac:dyDescent="0.3">
      <c r="A9" s="7">
        <v>7</v>
      </c>
      <c r="B9" s="7" t="s">
        <v>139</v>
      </c>
      <c r="C9" s="2">
        <v>5</v>
      </c>
      <c r="D9" s="2" t="s">
        <v>150</v>
      </c>
    </row>
    <row r="10" spans="1:4" ht="25.05" customHeight="1" x14ac:dyDescent="0.3">
      <c r="A10" s="7">
        <v>8</v>
      </c>
      <c r="B10" s="7" t="s">
        <v>144</v>
      </c>
      <c r="C10" s="2">
        <v>5</v>
      </c>
      <c r="D10" s="2" t="s">
        <v>151</v>
      </c>
    </row>
    <row r="11" spans="1:4" ht="25.05" customHeight="1" x14ac:dyDescent="0.3">
      <c r="A11" s="7">
        <v>9</v>
      </c>
      <c r="B11" s="7" t="s">
        <v>145</v>
      </c>
      <c r="C11" s="2">
        <v>1</v>
      </c>
      <c r="D11" s="2" t="s">
        <v>152</v>
      </c>
    </row>
    <row r="12" spans="1:4" ht="25.05" customHeight="1" x14ac:dyDescent="0.3">
      <c r="A12" s="7">
        <v>10</v>
      </c>
      <c r="B12" s="7" t="s">
        <v>140</v>
      </c>
      <c r="C12" s="2">
        <v>1</v>
      </c>
      <c r="D12" s="2" t="s">
        <v>153</v>
      </c>
    </row>
    <row r="13" spans="1:4" ht="25.05" customHeight="1" x14ac:dyDescent="0.3">
      <c r="A13" s="7">
        <v>11</v>
      </c>
      <c r="B13" s="7" t="s">
        <v>141</v>
      </c>
      <c r="C13" s="2">
        <v>7</v>
      </c>
      <c r="D13" s="2" t="s">
        <v>154</v>
      </c>
    </row>
    <row r="14" spans="1:4" ht="25.05" customHeight="1" x14ac:dyDescent="0.3">
      <c r="A14" s="7">
        <v>12</v>
      </c>
      <c r="B14" s="7" t="s">
        <v>142</v>
      </c>
      <c r="C14" s="2">
        <v>1</v>
      </c>
      <c r="D14" s="2" t="s">
        <v>155</v>
      </c>
    </row>
    <row r="15" spans="1:4" ht="25.05" customHeight="1" x14ac:dyDescent="0.3">
      <c r="A15" s="7">
        <v>13</v>
      </c>
      <c r="B15" s="7" t="s">
        <v>143</v>
      </c>
      <c r="C15" s="2">
        <v>5</v>
      </c>
      <c r="D15" s="2" t="s">
        <v>156</v>
      </c>
    </row>
    <row r="16" spans="1:4" ht="25.05" customHeight="1" x14ac:dyDescent="0.3">
      <c r="A16" s="7">
        <v>14</v>
      </c>
      <c r="B16" s="7" t="s">
        <v>146</v>
      </c>
      <c r="C16" s="2">
        <v>20</v>
      </c>
      <c r="D16" s="2" t="s">
        <v>157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Fletët e punës</vt:lpstr>
      </vt:variant>
      <vt:variant>
        <vt:i4>5</vt:i4>
      </vt:variant>
    </vt:vector>
  </HeadingPairs>
  <TitlesOfParts>
    <vt:vector size="5" baseType="lpstr">
      <vt:lpstr>1. Especificaciones</vt:lpstr>
      <vt:lpstr>2. Req. Funcionales</vt:lpstr>
      <vt:lpstr>3. Req. No Funcionales</vt:lpstr>
      <vt:lpstr>4. Restricciones</vt:lpstr>
      <vt:lpstr>5. Lista de Componentes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Jefferson Oviedo Rios</cp:lastModifiedBy>
  <dcterms:created xsi:type="dcterms:W3CDTF">2026-09-29T19:53:12Z</dcterms:created>
  <dcterms:modified xsi:type="dcterms:W3CDTF">2026-10-01T23:56:23Z</dcterms:modified>
</cp:coreProperties>
</file>